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" sheetId="1" state="visible" r:id="rId3"/>
    <sheet name="parent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<sst xmlns="http://schemas.openxmlformats.org/spreadsheetml/2006/main" count="147" uniqueCount="106">
  <si>
    <t xml:space="preserve">age </t>
  </si>
  <si>
    <t xml:space="preserve">age</t>
  </si>
  <si>
    <t xml:space="preserve">%</t>
  </si>
  <si>
    <t xml:space="preserve">man</t>
  </si>
  <si>
    <t xml:space="preserve">woman</t>
  </si>
  <si>
    <t xml:space="preserve">other</t>
  </si>
  <si>
    <t xml:space="preserve">12+14</t>
  </si>
  <si>
    <t xml:space="preserve">15+17</t>
  </si>
  <si>
    <t xml:space="preserve">18+20</t>
  </si>
  <si>
    <t xml:space="preserve">gender</t>
  </si>
  <si>
    <t xml:space="preserve">male</t>
  </si>
  <si>
    <t xml:space="preserve">female</t>
  </si>
  <si>
    <t xml:space="preserve">which games</t>
  </si>
  <si>
    <t xml:space="preserve">Shooter</t>
  </si>
  <si>
    <t xml:space="preserve">Sandbox</t>
  </si>
  <si>
    <t xml:space="preserve">RPG</t>
  </si>
  <si>
    <t xml:space="preserve">Open World</t>
  </si>
  <si>
    <t xml:space="preserve">Sport</t>
  </si>
  <si>
    <t xml:space="preserve">Story Games</t>
  </si>
  <si>
    <t xml:space="preserve">hours</t>
  </si>
  <si>
    <t xml:space="preserve">0 hours</t>
  </si>
  <si>
    <t xml:space="preserve">0.5-1 hours</t>
  </si>
  <si>
    <t xml:space="preserve">1-2 hours</t>
  </si>
  <si>
    <t xml:space="preserve">2-3 hours</t>
  </si>
  <si>
    <t xml:space="preserve">3-4 hours</t>
  </si>
  <si>
    <t xml:space="preserve">4-5 hours</t>
  </si>
  <si>
    <t xml:space="preserve">5+ hours</t>
  </si>
  <si>
    <t xml:space="preserve">money</t>
  </si>
  <si>
    <t xml:space="preserve">100+</t>
  </si>
  <si>
    <t xml:space="preserve">not regular</t>
  </si>
  <si>
    <t xml:space="preserve">cause damage</t>
  </si>
  <si>
    <t xml:space="preserve">yes</t>
  </si>
  <si>
    <t xml:space="preserve">no</t>
  </si>
  <si>
    <t xml:space="preserve">happy when fight in game</t>
  </si>
  <si>
    <t xml:space="preserve">total</t>
  </si>
  <si>
    <t xml:space="preserve">man </t>
  </si>
  <si>
    <t xml:space="preserve">Yes</t>
  </si>
  <si>
    <t xml:space="preserve">Sometimes</t>
  </si>
  <si>
    <t xml:space="preserve">No</t>
  </si>
  <si>
    <t xml:space="preserve">shooter</t>
  </si>
  <si>
    <t xml:space="preserve">sometimes</t>
  </si>
  <si>
    <t xml:space="preserve">angry when stopped</t>
  </si>
  <si>
    <t xml:space="preserve">where play</t>
  </si>
  <si>
    <t xml:space="preserve">only online</t>
  </si>
  <si>
    <t xml:space="preserve">mainly onmline</t>
  </si>
  <si>
    <t xml:space="preserve">equall</t>
  </si>
  <si>
    <t xml:space="preserve">mainly outside</t>
  </si>
  <si>
    <t xml:space="preserve">only outside</t>
  </si>
  <si>
    <t xml:space="preserve">alone or riend</t>
  </si>
  <si>
    <t xml:space="preserve">only friend</t>
  </si>
  <si>
    <t xml:space="preserve">mainly friend</t>
  </si>
  <si>
    <t xml:space="preserve">equally</t>
  </si>
  <si>
    <t xml:space="preserve">mainly alone</t>
  </si>
  <si>
    <t xml:space="preserve">only alone</t>
  </si>
  <si>
    <t xml:space="preserve">different when with friends</t>
  </si>
  <si>
    <t xml:space="preserve">days playing</t>
  </si>
  <si>
    <t xml:space="preserve">0 days</t>
  </si>
  <si>
    <t xml:space="preserve">1 days</t>
  </si>
  <si>
    <t xml:space="preserve">2 days</t>
  </si>
  <si>
    <t xml:space="preserve">3 days</t>
  </si>
  <si>
    <t xml:space="preserve">4 days</t>
  </si>
  <si>
    <t xml:space="preserve">5 days</t>
  </si>
  <si>
    <t xml:space="preserve">6 days</t>
  </si>
  <si>
    <t xml:space="preserve">7 days</t>
  </si>
  <si>
    <t xml:space="preserve">alone</t>
  </si>
  <si>
    <t xml:space="preserve">mostly alone</t>
  </si>
  <si>
    <t xml:space="preserve">both</t>
  </si>
  <si>
    <t xml:space="preserve">mostly friends</t>
  </si>
  <si>
    <t xml:space="preserve">only frineds</t>
  </si>
  <si>
    <t xml:space="preserve">contain violence</t>
  </si>
  <si>
    <t xml:space="preserve">mostly</t>
  </si>
  <si>
    <t xml:space="preserve">a few</t>
  </si>
  <si>
    <t xml:space="preserve">aggression after playing</t>
  </si>
  <si>
    <t xml:space="preserve">Less aggression</t>
  </si>
  <si>
    <t xml:space="preserve">More aggression</t>
  </si>
  <si>
    <t xml:space="preserve">Significantly more aggression</t>
  </si>
  <si>
    <t xml:space="preserve">while playing</t>
  </si>
  <si>
    <t xml:space="preserve">constantly</t>
  </si>
  <si>
    <t xml:space="preserve">stop playing</t>
  </si>
  <si>
    <t xml:space="preserve">sleep/learning</t>
  </si>
  <si>
    <t xml:space="preserve">sleep</t>
  </si>
  <si>
    <t xml:space="preserve">learning</t>
  </si>
  <si>
    <t xml:space="preserve">use aggression</t>
  </si>
  <si>
    <t xml:space="preserve">increasingly</t>
  </si>
  <si>
    <t xml:space="preserve">reaction to death or violence towards strangers</t>
  </si>
  <si>
    <t xml:space="preserve">shows saddness or compassion</t>
  </si>
  <si>
    <t xml:space="preserve">ignores it or neutral</t>
  </si>
  <si>
    <t xml:space="preserve">reacts with shock or fear</t>
  </si>
  <si>
    <t xml:space="preserve">to weaker</t>
  </si>
  <si>
    <t xml:space="preserve">show compassion/tries to help</t>
  </si>
  <si>
    <t xml:space="preserve">becaomes angry/ wants to interviene</t>
  </si>
  <si>
    <t xml:space="preserve">indifferent ot avoids</t>
  </si>
  <si>
    <t xml:space="preserve">Student</t>
  </si>
  <si>
    <t xml:space="preserve">Parent</t>
  </si>
  <si>
    <t xml:space="preserve">12 yrs - 14 yrs</t>
  </si>
  <si>
    <t xml:space="preserve">15 yrs - 17 yrs</t>
  </si>
  <si>
    <t xml:space="preserve">18 yrs - 20 yrs</t>
  </si>
  <si>
    <t xml:space="preserve">Gender</t>
  </si>
  <si>
    <t xml:space="preserve">Male</t>
  </si>
  <si>
    <t xml:space="preserve">Female</t>
  </si>
  <si>
    <t xml:space="preserve">Other</t>
  </si>
  <si>
    <t xml:space="preserve">Only with friends</t>
  </si>
  <si>
    <t xml:space="preserve">Mainly with friedns</t>
  </si>
  <si>
    <t xml:space="preserve">Equally</t>
  </si>
  <si>
    <t xml:space="preserve">Mainly alone</t>
  </si>
  <si>
    <t xml:space="preserve">Only alone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</si>
</sst>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\ %"/>
    <numFmt numFmtId="166" formatCode="dd/\ mmm"/>
    <numFmt numFmtId="167" formatCode="0.00"/>
    <numFmt numFmtId="168" formatCode="0%"/>
    <numFmt numFmtId="169" formatCode="mmm\ yy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b val="true"/>
      <sz val="14"/>
      <color rgb="FF595959"/>
      <name val="Aptos Narrow"/>
      <family val="2"/>
    </font>
    <font>
      <sz val="9"/>
      <color rgb="FF000000"/>
      <name val="Aptos Narrow"/>
      <family val="2"/>
    </font>
    <font>
      <b val="true"/>
      <sz val="16"/>
      <color rgb="FF595959"/>
      <name val="Aptos Narrow"/>
      <family val="2"/>
    </font>
    <font>
      <sz val="10"/>
      <color rgb="FF000000"/>
      <name val="Aptos Narrow"/>
      <family val="2"/>
    </font>
    <font>
      <b val="true"/>
      <sz val="10"/>
      <color rgb="FF156082"/>
      <name val="Aptos Narrow"/>
      <family val="2"/>
    </font>
    <font>
      <b val="true"/>
      <sz val="10"/>
      <color rgb="FFE97132"/>
      <name val="Aptos Narrow"/>
      <family val="2"/>
    </font>
    <font>
      <b val="true"/>
      <sz val="10"/>
      <color rgb="FF196B24"/>
      <name val="Aptos Narrow"/>
      <family val="2"/>
    </font>
    <font>
      <b val="true"/>
      <sz val="11"/>
      <color rgb="FFFFFFFF"/>
      <name val="Aptos Narrow"/>
      <family val="2"/>
    </font>
    <font>
      <sz val="12"/>
      <color rgb="FF595959"/>
      <name val="Aptos Narrow"/>
      <family val="2"/>
    </font>
    <font>
      <sz val="11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4EA72E"/>
      <rgbColor rgb="FF003300"/>
      <rgbColor rgb="FF333300"/>
      <rgbColor rgb="FF8035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Aptos Narrow"/>
              </a:rPr>
              <a:t>Student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54974396488661"/>
          <c:y val="0.185539955386432"/>
          <c:w val="0.88386978785662"/>
          <c:h val="0.7211652014171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"Student"</c:f>
              <c:strCache>
                <c:ptCount val="1"/>
                <c:pt idx="0">
                  <c:v>Student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student!$B$59:$B$63</c:f>
              <c:strCache>
                <c:ptCount val="5"/>
                <c:pt idx="0">
                  <c:v>only friend</c:v>
                </c:pt>
                <c:pt idx="1">
                  <c:v>mainly friend</c:v>
                </c:pt>
                <c:pt idx="2">
                  <c:v>equally</c:v>
                </c:pt>
                <c:pt idx="3">
                  <c:v>mainly alone</c:v>
                </c:pt>
                <c:pt idx="4">
                  <c:v>only alone</c:v>
                </c:pt>
              </c:strCache>
            </c:strRef>
          </c:cat>
          <c:val>
            <c:numRef>
              <c:f>student!$C$59:$C$63</c:f>
              <c:numCache>
                <c:formatCode>0\ %</c:formatCode>
                <c:ptCount val="5"/>
                <c:pt idx="0">
                  <c:v>0.117647058823529</c:v>
                </c:pt>
                <c:pt idx="1">
                  <c:v>0.294117647058824</c:v>
                </c:pt>
                <c:pt idx="2">
                  <c:v>0.264705882352941</c:v>
                </c:pt>
                <c:pt idx="3">
                  <c:v>0.176470588235294</c:v>
                </c:pt>
                <c:pt idx="4">
                  <c:v>0.147058823529412</c:v>
                </c:pt>
              </c:numCache>
            </c:numRef>
          </c:val>
        </c:ser>
        <c:gapWidth val="219"/>
        <c:overlap val="-27"/>
        <c:axId val="50031441"/>
        <c:axId val="52221873"/>
      </c:barChart>
      <c:catAx>
        <c:axId val="500314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52221873"/>
        <c:crosses val="autoZero"/>
        <c:auto val="1"/>
        <c:lblAlgn val="ctr"/>
        <c:lblOffset val="100"/>
        <c:noMultiLvlLbl val="0"/>
      </c:catAx>
      <c:valAx>
        <c:axId val="522218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500314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hu-HU" sz="1400" b="0" u="none" strike="noStrike">
                <a:solidFill>
                  <a:srgbClr val="595959"/>
                </a:solidFill>
                <a:uFillTx/>
                <a:latin typeface="Aptos Narrow"/>
              </a:rPr>
              <a:t>Aggression growing after playing for a longer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parent!$B$39:$B$42</c:f>
              <c:strCache>
                <c:ptCount val="4"/>
                <c:pt idx="0">
                  <c:v>No</c:v>
                </c:pt>
                <c:pt idx="1">
                  <c:v>Less aggression</c:v>
                </c:pt>
                <c:pt idx="2">
                  <c:v>More aggression</c:v>
                </c:pt>
                <c:pt idx="3">
                  <c:v>Significantly more aggression</c:v>
                </c:pt>
              </c:strCache>
            </c:strRef>
          </c:cat>
          <c:val>
            <c:numRef>
              <c:f>parent!$C$39:$C$42</c:f>
              <c:numCache>
                <c:formatCode>0\ %</c:formatCode>
                <c:ptCount val="4"/>
                <c:pt idx="0">
                  <c:v>0.5</c:v>
                </c:pt>
                <c:pt idx="1">
                  <c:v>0.2</c:v>
                </c:pt>
                <c:pt idx="2">
                  <c:v>0.25</c:v>
                </c:pt>
                <c:pt idx="3">
                  <c:v>0.05</c:v>
                </c:pt>
              </c:numCache>
            </c:numRef>
          </c:val>
        </c:ser>
        <c:gapWidth val="182"/>
        <c:overlap val="0"/>
        <c:axId val="50237741"/>
        <c:axId val="39314088"/>
      </c:barChart>
      <c:catAx>
        <c:axId val="502377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39314088"/>
        <c:crosses val="autoZero"/>
        <c:auto val="1"/>
        <c:lblAlgn val="ctr"/>
        <c:lblOffset val="100"/>
        <c:noMultiLvlLbl val="0"/>
      </c:catAx>
      <c:valAx>
        <c:axId val="393140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502377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hu-HU" sz="1400" b="1" u="none" strike="noStrike">
                <a:solidFill>
                  <a:srgbClr val="595959"/>
                </a:solidFill>
                <a:uFillTx/>
                <a:latin typeface="Aptos Narrow"/>
              </a:rPr>
              <a:t>Ages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Student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97132"/>
              </a:solidFill>
              <a:ln w="12600">
                <a:noFill/>
              </a:ln>
            </c:spPr>
          </c:dPt>
          <c:dPt>
            <c:idx val="1"/>
            <c:invertIfNegative val="0"/>
            <c:spPr>
              <a:solidFill>
                <a:srgbClr val="e97132"/>
              </a:solidFill>
              <a:ln w="12600">
                <a:noFill/>
              </a:ln>
            </c:spPr>
          </c:dPt>
          <c:dPt>
            <c:idx val="2"/>
            <c:invertIfNegative val="0"/>
            <c:spPr>
              <a:solidFill>
                <a:srgbClr val="e97132"/>
              </a:solidFill>
              <a:ln w="12600">
                <a:noFill/>
              </a:ln>
            </c:spPr>
          </c:dPt>
          <c:dLbls>
            <c:dLbl>
              <c:idx val="0"/>
              <c:tx>
                <c:rich>
                  <a:bodyPr/>
                  <a:p>
                    <a:fld id="{5DEB7737-EB0D-4888-8EBF-16152ED7110A}" type="SERIESNAME">
                      <a:rPr lang="en-US" sz="1200" b="0" u="none" strike="noStrike">
                        <a:solidFill>
                          <a:srgbClr val="000000"/>
                        </a:solidFill>
                        <a:uFillTx/>
                        <a:latin typeface="Aptos Narrow"/>
                      </a:rPr>
                      <a:t>Student</a:t>
                    </a:fld>
                  </a:p>
                  <a:p>
                    <a:fld id="{DC8E450E-1679-4A8E-B3EC-D1932591AC86}" type="VALUE">
                      <a:rPr lang="en-US" sz="1200" b="0" u="none" strike="noStrike">
                        <a:solidFill>
                          <a:srgbClr val="000000"/>
                        </a:solidFill>
                        <a:uFillTx/>
                        <a:latin typeface="Aptos Narrow"/>
                      </a:rPr>
                      <a:t>35 %</a:t>
                    </a:fld>
                  </a:p>
                </c:rich>
              </c:tx>
              <c:numFmt formatCode="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eparator>
</c:separator>
            </c:dLbl>
            <c:dLbl>
              <c:idx val="1"/>
              <c:tx>
                <c:rich>
                  <a:bodyPr/>
                  <a:p>
                    <a:fld id="{8409DE5B-F48D-484C-819F-EEB4EFF1EC86}" type="SERIESNAME">
                      <a:rPr lang="en-US" sz="1200" b="0" u="none" strike="noStrike">
                        <a:solidFill>
                          <a:srgbClr val="000000"/>
                        </a:solidFill>
                        <a:uFillTx/>
                        <a:latin typeface="Aptos Narrow"/>
                      </a:rPr>
                      <a:t>Student</a:t>
                    </a:fld>
                  </a:p>
                  <a:p>
                    <a:fld id="{A041823C-C3C8-498F-A0CB-24D130E71112}" type="VALUE">
                      <a:rPr lang="en-US" sz="1200" b="0" u="none" strike="noStrike">
                        <a:solidFill>
                          <a:srgbClr val="000000"/>
                        </a:solidFill>
                        <a:uFillTx/>
                        <a:latin typeface="Aptos Narrow"/>
                      </a:rPr>
                      <a:t>40 %</a:t>
                    </a:fld>
                  </a:p>
                </c:rich>
              </c:tx>
              <c:numFmt formatCode="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eparator>
</c:separator>
            </c:dLbl>
            <c:dLbl>
              <c:idx val="2"/>
              <c:tx>
                <c:rich>
                  <a:bodyPr/>
                  <a:p>
                    <a:fld id="{52F970D2-AF10-449A-A724-E521F897CB6D}" type="SERIESNAME">
                      <a:rPr lang="en-US" sz="1200" b="0" u="none" strike="noStrike">
                        <a:solidFill>
                          <a:srgbClr val="000000"/>
                        </a:solidFill>
                        <a:uFillTx/>
                        <a:latin typeface="Aptos Narrow"/>
                      </a:rPr>
                      <a:t>Student</a:t>
                    </a:fld>
                  </a:p>
                  <a:p>
                    <a:fld id="{72C70E83-3663-4110-839D-BC3DAECBA372}" type="VALUE">
                      <a:rPr lang="en-US" sz="1200" b="0" u="none" strike="noStrike">
                        <a:solidFill>
                          <a:srgbClr val="000000"/>
                        </a:solidFill>
                        <a:uFillTx/>
                        <a:latin typeface="Aptos Narrow"/>
                      </a:rPr>
                      <a:t>25 %</a:t>
                    </a:fld>
                  </a:p>
                </c:rich>
              </c:tx>
              <c:numFmt formatCode="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eparator>
</c:separator>
            </c:dLbl>
            <c:numFmt formatCode="0%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Sheet3!$D$4:$D$6</c:f>
              <c:strCache>
                <c:ptCount val="3"/>
                <c:pt idx="0">
                  <c:v>12 yrs - 14 yrs</c:v>
                </c:pt>
                <c:pt idx="1">
                  <c:v>15 yrs - 17 yrs</c:v>
                </c:pt>
                <c:pt idx="2">
                  <c:v>18 yrs - 20 yrs</c:v>
                </c:pt>
              </c:strCache>
            </c:strRef>
          </c:cat>
          <c:val>
            <c:numRef>
              <c:f>Sheet3!$E$4:$E$6</c:f>
              <c:numCache>
                <c:formatCode>0\ %</c:formatCode>
                <c:ptCount val="3"/>
                <c:pt idx="0">
                  <c:v>0.35</c:v>
                </c:pt>
                <c:pt idx="1">
                  <c:v>0.4</c:v>
                </c:pt>
                <c:pt idx="2">
                  <c:v>0.25</c:v>
                </c:pt>
              </c:numCache>
            </c:numRef>
          </c:val>
        </c:ser>
        <c:ser>
          <c:idx val="1"/>
          <c:order val="1"/>
          <c:tx>
            <c:strRef>
              <c:f>Sheet3!$F$3</c:f>
              <c:strCache>
                <c:ptCount val="1"/>
                <c:pt idx="0">
                  <c:v>Parent</c:v>
                </c:pt>
              </c:strCache>
            </c:strRef>
          </c:tx>
          <c:spPr>
            <a:solidFill>
              <a:srgbClr val="0f9ed5"/>
            </a:solidFill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f9ed5"/>
              </a:solidFill>
              <a:ln w="12600">
                <a:noFill/>
              </a:ln>
            </c:spPr>
          </c:dPt>
          <c:dPt>
            <c:idx val="1"/>
            <c:invertIfNegative val="0"/>
            <c:spPr>
              <a:solidFill>
                <a:srgbClr val="0f9ed5"/>
              </a:solidFill>
              <a:ln w="12600">
                <a:noFill/>
              </a:ln>
            </c:spPr>
          </c:dPt>
          <c:dPt>
            <c:idx val="2"/>
            <c:invertIfNegative val="0"/>
            <c:spPr>
              <a:solidFill>
                <a:srgbClr val="0f9ed5"/>
              </a:solidFill>
              <a:ln w="12600">
                <a:noFill/>
              </a:ln>
            </c:spPr>
          </c:dPt>
          <c:dLbls>
            <c:dLbl>
              <c:idx val="0"/>
              <c:tx>
                <c:rich>
                  <a:bodyPr/>
                  <a:p>
                    <a:fld id="{98C14969-ACD8-4143-9018-AB7F17E1A029}" type="SERIESNAME">
                      <a:rPr lang="en-US" sz="1200" b="0" u="none" strike="noStrike">
                        <a:solidFill>
                          <a:srgbClr val="000000"/>
                        </a:solidFill>
                        <a:uFillTx/>
                        <a:latin typeface="Aptos Narrow"/>
                      </a:rPr>
                      <a:t>Parent</a:t>
                    </a:fld>
                  </a:p>
                  <a:p>
                    <a:fld id="{98C70CE9-F8AD-467E-BB7D-FFB6D0D9089D}" type="VALUE">
                      <a:rPr lang="en-US" sz="1200" b="0" u="none" strike="noStrike">
                        <a:solidFill>
                          <a:srgbClr val="000000"/>
                        </a:solidFill>
                        <a:uFillTx/>
                        <a:latin typeface="Aptos Narrow"/>
                      </a:rPr>
                      <a:t>36 %</a:t>
                    </a:fld>
                  </a:p>
                </c:rich>
              </c:tx>
              <c:numFmt formatCode="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eparator>
</c:separator>
            </c:dLbl>
            <c:dLbl>
              <c:idx val="1"/>
              <c:tx>
                <c:rich>
                  <a:bodyPr/>
                  <a:p>
                    <a:fld id="{4F9373E5-50C4-4701-9814-33E2CDE7C63C}" type="SERIESNAME">
                      <a:rPr lang="en-US" sz="1200" b="0" u="none" strike="noStrike">
                        <a:solidFill>
                          <a:srgbClr val="000000"/>
                        </a:solidFill>
                        <a:uFillTx/>
                        <a:latin typeface="Aptos Narrow"/>
                      </a:rPr>
                      <a:t>Parent</a:t>
                    </a:fld>
                  </a:p>
                  <a:p>
                    <a:fld id="{8CA52871-E8FC-459C-9262-BFE2A1D7F1E5}" type="VALUE">
                      <a:rPr lang="en-US" sz="1200" b="0" u="none" strike="noStrike">
                        <a:solidFill>
                          <a:srgbClr val="000000"/>
                        </a:solidFill>
                        <a:uFillTx/>
                        <a:latin typeface="Aptos Narrow"/>
                      </a:rPr>
                      <a:t>36 %</a:t>
                    </a:fld>
                  </a:p>
                </c:rich>
              </c:tx>
              <c:numFmt formatCode="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eparator>
</c:separator>
            </c:dLbl>
            <c:dLbl>
              <c:idx val="2"/>
              <c:tx>
                <c:rich>
                  <a:bodyPr/>
                  <a:p>
                    <a:fld id="{3402632A-41F6-4F2F-9821-88A42419CDF5}" type="SERIESNAME">
                      <a:rPr lang="en-US" sz="1200" b="0" u="none" strike="noStrike">
                        <a:solidFill>
                          <a:srgbClr val="000000"/>
                        </a:solidFill>
                        <a:uFillTx/>
                        <a:latin typeface="Aptos Narrow"/>
                      </a:rPr>
                      <a:t>Parent</a:t>
                    </a:fld>
                  </a:p>
                  <a:p>
                    <a:fld id="{8CAA8F86-D624-45AF-BBA6-CEEBABB19259}" type="VALUE">
                      <a:rPr lang="en-US" sz="1200" b="0" u="none" strike="noStrike">
                        <a:solidFill>
                          <a:srgbClr val="000000"/>
                        </a:solidFill>
                        <a:uFillTx/>
                        <a:latin typeface="Aptos Narrow"/>
                      </a:rPr>
                      <a:t>28 %</a:t>
                    </a:fld>
                  </a:p>
                </c:rich>
              </c:tx>
              <c:numFmt formatCode="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eparator>
</c:separator>
            </c:dLbl>
            <c:numFmt formatCode="0%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Sheet3!$D$4:$D$6</c:f>
              <c:strCache>
                <c:ptCount val="3"/>
                <c:pt idx="0">
                  <c:v>12 yrs - 14 yrs</c:v>
                </c:pt>
                <c:pt idx="1">
                  <c:v>15 yrs - 17 yrs</c:v>
                </c:pt>
                <c:pt idx="2">
                  <c:v>18 yrs - 20 yrs</c:v>
                </c:pt>
              </c:strCache>
            </c:strRef>
          </c:cat>
          <c:val>
            <c:numRef>
              <c:f>Sheet3!$F$4:$F$6</c:f>
              <c:numCache>
                <c:formatCode>0\ %</c:formatCode>
                <c:ptCount val="3"/>
                <c:pt idx="0">
                  <c:v>0.36</c:v>
                </c:pt>
                <c:pt idx="1">
                  <c:v>0.36</c:v>
                </c:pt>
                <c:pt idx="2">
                  <c:v>0.28</c:v>
                </c:pt>
              </c:numCache>
            </c:numRef>
          </c:val>
        </c:ser>
        <c:gapWidth val="150"/>
        <c:overlap val="0"/>
        <c:axId val="71215929"/>
        <c:axId val="41519175"/>
      </c:barChart>
      <c:catAx>
        <c:axId val="712159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41519175"/>
        <c:crosses val="autoZero"/>
        <c:auto val="1"/>
        <c:lblAlgn val="ctr"/>
        <c:lblOffset val="100"/>
        <c:noMultiLvlLbl val="0"/>
      </c:catAx>
      <c:valAx>
        <c:axId val="4151917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712159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hu-HU" sz="1600" b="1" u="none" strike="noStrike">
                <a:solidFill>
                  <a:srgbClr val="595959"/>
                </a:solidFill>
                <a:uFillTx/>
                <a:latin typeface="Aptos Narrow"/>
              </a:rPr>
              <a:t>G</a:t>
            </a:r>
            <a:r>
              <a:rPr lang="hu-HU" sz="1600" b="1" u="none" strike="noStrike">
                <a:solidFill>
                  <a:srgbClr val="595959"/>
                </a:solidFill>
                <a:uFillTx/>
                <a:latin typeface="Aptos Narrow"/>
              </a:rPr>
              <a:t>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713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96b2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156082"/>
                      </a:solidFill>
                      <a:uFillTx/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e97132"/>
                      </a:solidFill>
                      <a:uFillTx/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196b24"/>
                      </a:solidFill>
                      <a:uFillTx/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a6a6a6"/>
                  </a:solidFill>
                </a:ln>
              </c:spPr>
            </c:leaderLines>
          </c:dLbls>
          <c:cat>
            <c:strRef>
              <c:f>Sheet3!$D$10:$D$12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Other</c:v>
                </c:pt>
              </c:strCache>
            </c:strRef>
          </c:cat>
          <c:val>
            <c:numRef>
              <c:f>Sheet3!$E$10:$E$12</c:f>
              <c:numCache>
                <c:formatCode>General</c:formatCode>
                <c:ptCount val="3"/>
                <c:pt idx="0">
                  <c:v>61</c:v>
                </c:pt>
                <c:pt idx="1">
                  <c:v>53</c:v>
                </c:pt>
                <c:pt idx="2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5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hu-HU" sz="1400" b="1" u="none" strike="noStrike">
                <a:solidFill>
                  <a:srgbClr val="595959"/>
                </a:solidFill>
                <a:uFillTx/>
                <a:latin typeface="Aptos Narrow"/>
              </a:rPr>
              <a:t>How many days played in a week?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76869672203181"/>
          <c:y val="0.142173913043478"/>
          <c:w val="0.887072677739696"/>
          <c:h val="0.76902173913043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196b24"/>
            </a:solidFill>
            <a:ln w="1260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196b24"/>
              </a:solidFill>
              <a:ln w="12600">
                <a:noFill/>
              </a:ln>
            </c:spPr>
          </c:dPt>
          <c:dLbls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parent!$B$16:$B$23</c:f>
              <c:strCache>
                <c:ptCount val="8"/>
                <c:pt idx="0">
                  <c:v>0 days</c:v>
                </c:pt>
                <c:pt idx="1">
                  <c:v>1 days</c:v>
                </c:pt>
                <c:pt idx="2">
                  <c:v>2 days</c:v>
                </c:pt>
                <c:pt idx="3">
                  <c:v>3 days</c:v>
                </c:pt>
                <c:pt idx="4">
                  <c:v>4 days</c:v>
                </c:pt>
                <c:pt idx="5">
                  <c:v>5 days</c:v>
                </c:pt>
                <c:pt idx="6">
                  <c:v>6 days</c:v>
                </c:pt>
                <c:pt idx="7">
                  <c:v>7 days</c:v>
                </c:pt>
              </c:strCache>
            </c:strRef>
          </c:cat>
          <c:val>
            <c:numRef>
              <c:f>parent!$C$16:$C$23</c:f>
              <c:numCache>
                <c:formatCode>0\ %</c:formatCode>
                <c:ptCount val="8"/>
                <c:pt idx="0">
                  <c:v>0.0508474576271187</c:v>
                </c:pt>
                <c:pt idx="1">
                  <c:v>0.076271186440678</c:v>
                </c:pt>
                <c:pt idx="2">
                  <c:v>0.135593220338983</c:v>
                </c:pt>
                <c:pt idx="3">
                  <c:v>0.23728813559322</c:v>
                </c:pt>
                <c:pt idx="4">
                  <c:v>0.186440677966102</c:v>
                </c:pt>
                <c:pt idx="5">
                  <c:v>0.152542372881356</c:v>
                </c:pt>
                <c:pt idx="6">
                  <c:v>0.101694915254237</c:v>
                </c:pt>
                <c:pt idx="7">
                  <c:v>0.0593220338983051</c:v>
                </c:pt>
              </c:numCache>
            </c:numRef>
          </c:val>
        </c:ser>
        <c:gapWidth val="219"/>
        <c:overlap val="-27"/>
        <c:axId val="26285651"/>
        <c:axId val="99992871"/>
      </c:barChart>
      <c:catAx>
        <c:axId val="262856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99992871"/>
        <c:crosses val="autoZero"/>
        <c:auto val="1"/>
        <c:lblAlgn val="ctr"/>
        <c:lblOffset val="100"/>
        <c:noMultiLvlLbl val="0"/>
      </c:catAx>
      <c:valAx>
        <c:axId val="99992871"/>
        <c:scaling>
          <c:orientation val="minMax"/>
          <c:max val="0.2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262856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hu-HU" sz="1400" b="1" u="none" spc="51" strike="noStrike">
                <a:solidFill>
                  <a:srgbClr val="595959"/>
                </a:solidFill>
                <a:uFillTx/>
                <a:latin typeface="Aptos Narrow"/>
              </a:rPr>
              <a:t>Hours played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9344034573237"/>
          <c:y val="0.220630630630631"/>
          <c:w val="0.520219169624942"/>
          <c:h val="0.737207207207207"/>
        </c:manualLayout>
      </c:layout>
      <c:doughnut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713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96b24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f9ed5"/>
              </a:solidFill>
              <a:ln w="0">
                <a:noFill/>
              </a:ln>
            </c:spPr>
          </c:dPt>
          <c:dPt>
            <c:idx val="4"/>
            <c:spPr>
              <a:solidFill>
                <a:srgbClr val="a02b93"/>
              </a:solidFill>
              <a:ln w="0">
                <a:noFill/>
              </a:ln>
            </c:spPr>
          </c:dPt>
          <c:dPt>
            <c:idx val="5"/>
            <c:spPr>
              <a:solidFill>
                <a:srgbClr val="4ea72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8035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100" b="1" u="none" strike="noStrike">
                      <a:solidFill>
                        <a:srgbClr val="ffffff"/>
                      </a:solidFill>
                      <a:uFillTx/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100" b="1" u="none" strike="noStrike">
                      <a:solidFill>
                        <a:srgbClr val="ffffff"/>
                      </a:solidFill>
                      <a:uFillTx/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100" b="1" u="none" strike="noStrike">
                      <a:solidFill>
                        <a:srgbClr val="ffffff"/>
                      </a:solidFill>
                      <a:uFillTx/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100" b="1" u="none" strike="noStrike">
                      <a:solidFill>
                        <a:srgbClr val="ffffff"/>
                      </a:solidFill>
                      <a:uFillTx/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sz="1100" b="1" u="none" strike="noStrike">
                      <a:solidFill>
                        <a:srgbClr val="ffffff"/>
                      </a:solidFill>
                      <a:uFillTx/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sz="1100" b="1" u="none" strike="noStrike">
                      <a:solidFill>
                        <a:srgbClr val="ffffff"/>
                      </a:solidFill>
                      <a:uFillTx/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sz="1100" b="1" u="none" strike="noStrike">
                      <a:solidFill>
                        <a:srgbClr val="ffffff"/>
                      </a:solidFill>
                      <a:uFillTx/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100" b="1" u="none" strike="noStrike">
                    <a:solidFill>
                      <a:srgbClr val="ffffff"/>
                    </a:solidFill>
                    <a:uFillTx/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9360">
                  <a:solidFill>
                    <a:srgbClr val="a6a6a6"/>
                  </a:solidFill>
                </a:ln>
              </c:spPr>
            </c:leaderLines>
          </c:dLbls>
          <c:cat>
            <c:strRef>
              <c:f>student!$B$23:$B$29</c:f>
              <c:strCache>
                <c:ptCount val="7"/>
                <c:pt idx="0">
                  <c:v>0 hours</c:v>
                </c:pt>
                <c:pt idx="1">
                  <c:v>0.5-1 hours</c:v>
                </c:pt>
                <c:pt idx="2">
                  <c:v>1-2 hours</c:v>
                </c:pt>
                <c:pt idx="3">
                  <c:v>2-3 hours</c:v>
                </c:pt>
                <c:pt idx="4">
                  <c:v>3-4 hours</c:v>
                </c:pt>
                <c:pt idx="5">
                  <c:v>4-5 hours</c:v>
                </c:pt>
                <c:pt idx="6">
                  <c:v>5+ hours</c:v>
                </c:pt>
              </c:strCache>
            </c:strRef>
          </c:cat>
          <c:val>
            <c:numRef>
              <c:f>student!$C$23:$C$29</c:f>
              <c:numCache>
                <c:formatCode>0\ %</c:formatCode>
                <c:ptCount val="7"/>
                <c:pt idx="0">
                  <c:v>0.05</c:v>
                </c:pt>
                <c:pt idx="1">
                  <c:v>0.15</c:v>
                </c:pt>
                <c:pt idx="2">
                  <c:v>0.3</c:v>
                </c:pt>
                <c:pt idx="3">
                  <c:v>0.3</c:v>
                </c:pt>
                <c:pt idx="4">
                  <c:v>0.12</c:v>
                </c:pt>
                <c:pt idx="5">
                  <c:v>0.05</c:v>
                </c:pt>
                <c:pt idx="6">
                  <c:v>0.03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t"/>
      <c:layout>
        <c:manualLayout>
          <c:xMode val="edge"/>
          <c:yMode val="edge"/>
          <c:x val="0.0230304285842994"/>
          <c:y val="0.108183719311584"/>
          <c:w val="0.963454268338939"/>
          <c:h val="0.10071677756429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200" b="0" u="none" strike="noStrik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hu-HU" sz="1400" b="1" u="none" strike="noStrike">
                <a:solidFill>
                  <a:srgbClr val="595959"/>
                </a:solidFill>
                <a:uFillTx/>
                <a:latin typeface="Aptos Narrow"/>
              </a:rPr>
              <a:t>Happines when playing</a:t>
            </a:r>
            <a:r>
              <a:rPr lang="hu-HU" sz="1400" b="1" u="none" strike="noStrike">
                <a:solidFill>
                  <a:srgbClr val="595959"/>
                </a:solidFill>
                <a:uFillTx/>
                <a:latin typeface="Aptos Narrow"/>
              </a:rPr>
              <a:t> violent games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student!$D$40</c:f>
              <c:strCache>
                <c:ptCount val="1"/>
                <c:pt idx="0">
                  <c:v>man 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student!$B$41:$B$43</c:f>
              <c:strCache>
                <c:ptCount val="3"/>
                <c:pt idx="0">
                  <c:v>Yes</c:v>
                </c:pt>
                <c:pt idx="1">
                  <c:v>Sometimes</c:v>
                </c:pt>
                <c:pt idx="2">
                  <c:v>No</c:v>
                </c:pt>
              </c:strCache>
            </c:strRef>
          </c:cat>
          <c:val>
            <c:numRef>
              <c:f>student!$D$41:$D$43</c:f>
              <c:numCache>
                <c:formatCode>0\ %</c:formatCode>
                <c:ptCount val="3"/>
                <c:pt idx="0">
                  <c:v>0.622950819672131</c:v>
                </c:pt>
                <c:pt idx="1">
                  <c:v>0.229508196721311</c:v>
                </c:pt>
                <c:pt idx="2">
                  <c:v>0.147540983606557</c:v>
                </c:pt>
              </c:numCache>
            </c:numRef>
          </c:val>
        </c:ser>
        <c:ser>
          <c:idx val="1"/>
          <c:order val="1"/>
          <c:tx>
            <c:strRef>
              <c:f>student!$E$40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student!$B$41:$B$43</c:f>
              <c:strCache>
                <c:ptCount val="3"/>
                <c:pt idx="0">
                  <c:v>Yes</c:v>
                </c:pt>
                <c:pt idx="1">
                  <c:v>Sometimes</c:v>
                </c:pt>
                <c:pt idx="2">
                  <c:v>No</c:v>
                </c:pt>
              </c:strCache>
            </c:strRef>
          </c:cat>
          <c:val>
            <c:numRef>
              <c:f>student!$E$41:$E$43</c:f>
              <c:numCache>
                <c:formatCode>0\ %</c:formatCode>
                <c:ptCount val="3"/>
                <c:pt idx="0">
                  <c:v>0.415094339622642</c:v>
                </c:pt>
                <c:pt idx="1">
                  <c:v>0.339622641509434</c:v>
                </c:pt>
                <c:pt idx="2">
                  <c:v>0.245283018867925</c:v>
                </c:pt>
              </c:numCache>
            </c:numRef>
          </c:val>
        </c:ser>
        <c:ser>
          <c:idx val="2"/>
          <c:order val="2"/>
          <c:tx>
            <c:strRef>
              <c:f>student!$F$40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196b24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student!$B$41:$B$43</c:f>
              <c:strCache>
                <c:ptCount val="3"/>
                <c:pt idx="0">
                  <c:v>Yes</c:v>
                </c:pt>
                <c:pt idx="1">
                  <c:v>Sometimes</c:v>
                </c:pt>
                <c:pt idx="2">
                  <c:v>No</c:v>
                </c:pt>
              </c:strCache>
            </c:strRef>
          </c:cat>
          <c:val>
            <c:numRef>
              <c:f>student!$F$41:$F$43</c:f>
              <c:numCache>
                <c:formatCode>0\ %</c:formatCode>
                <c:ptCount val="3"/>
                <c:pt idx="0">
                  <c:v>0.333333333333333</c:v>
                </c:pt>
                <c:pt idx="1">
                  <c:v>0.333333333333333</c:v>
                </c:pt>
                <c:pt idx="2">
                  <c:v>0.333333333333333</c:v>
                </c:pt>
              </c:numCache>
            </c:numRef>
          </c:val>
        </c:ser>
        <c:ser>
          <c:idx val="3"/>
          <c:order val="3"/>
          <c:spPr>
            <a:solidFill>
              <a:srgbClr val="579d1c"/>
            </a:solidFill>
            <a:ln w="0">
              <a:noFill/>
            </a:ln>
          </c:spPr>
          <c:invertIfNegative val="0"/>
          <c:cat>
            <c:strRef>
              <c:f>student!$B$41:$B$43</c:f>
              <c:strCache>
                <c:ptCount val="3"/>
                <c:pt idx="0">
                  <c:v>Yes</c:v>
                </c:pt>
                <c:pt idx="1">
                  <c:v>Sometimes</c:v>
                </c:pt>
                <c:pt idx="2">
                  <c:v>No</c:v>
                </c:pt>
              </c:strCache>
            </c:strRef>
          </c:cat>
        </c:ser>
        <c:gapWidth val="219"/>
        <c:overlap val="-27"/>
        <c:axId val="93857679"/>
        <c:axId val="79853095"/>
      </c:barChart>
      <c:catAx>
        <c:axId val="938576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1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79853095"/>
        <c:crosses val="autoZero"/>
        <c:auto val="1"/>
        <c:lblAlgn val="ctr"/>
        <c:lblOffset val="100"/>
        <c:noMultiLvlLbl val="0"/>
      </c:catAx>
      <c:valAx>
        <c:axId val="7985309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938576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100" b="0" u="none" strike="noStrik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8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hu-HU" sz="1400" b="1" u="none" strike="noStrike">
                <a:solidFill>
                  <a:srgbClr val="595959"/>
                </a:solidFill>
                <a:uFillTx/>
                <a:latin typeface="Aptos Narrow"/>
              </a:rPr>
              <a:t>Type of games</a:t>
            </a:r>
            <a:r>
              <a:rPr lang="hu-HU" sz="1400" b="1" u="none" strike="noStrike">
                <a:solidFill>
                  <a:srgbClr val="595959"/>
                </a:solidFill>
                <a:uFillTx/>
                <a:latin typeface="Aptos Narrow"/>
              </a:rPr>
              <a:t> played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3589469939523"/>
          <c:y val="0.180947382233303"/>
          <c:w val="0.645144076840982"/>
          <c:h val="0.72116520141713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ea72e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student!$B$16:$B$21</c:f>
              <c:strCache>
                <c:ptCount val="6"/>
                <c:pt idx="0">
                  <c:v>Shooter</c:v>
                </c:pt>
                <c:pt idx="1">
                  <c:v>Sandbox</c:v>
                </c:pt>
                <c:pt idx="2">
                  <c:v>RPG</c:v>
                </c:pt>
                <c:pt idx="3">
                  <c:v>Open World</c:v>
                </c:pt>
                <c:pt idx="4">
                  <c:v>Sport</c:v>
                </c:pt>
                <c:pt idx="5">
                  <c:v>Story Games</c:v>
                </c:pt>
              </c:strCache>
            </c:strRef>
          </c:cat>
          <c:val>
            <c:numRef>
              <c:f>student!$C$16:$C$21</c:f>
              <c:numCache>
                <c:formatCode>0\ %</c:formatCode>
                <c:ptCount val="6"/>
                <c:pt idx="0">
                  <c:v>0.61</c:v>
                </c:pt>
                <c:pt idx="1">
                  <c:v>0.49</c:v>
                </c:pt>
                <c:pt idx="2">
                  <c:v>0.37</c:v>
                </c:pt>
                <c:pt idx="3">
                  <c:v>0.28</c:v>
                </c:pt>
                <c:pt idx="4">
                  <c:v>0.23</c:v>
                </c:pt>
                <c:pt idx="5">
                  <c:v>0.19</c:v>
                </c:pt>
              </c:numCache>
            </c:numRef>
          </c:val>
        </c:ser>
        <c:gapWidth val="182"/>
        <c:overlap val="0"/>
        <c:axId val="8276629"/>
        <c:axId val="81419965"/>
      </c:barChart>
      <c:catAx>
        <c:axId val="82766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81419965"/>
        <c:crosses val="autoZero"/>
        <c:auto val="1"/>
        <c:lblAlgn val="ctr"/>
        <c:lblOffset val="100"/>
        <c:noMultiLvlLbl val="0"/>
      </c:catAx>
      <c:valAx>
        <c:axId val="8141996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82766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hu-HU" sz="1400" b="1" u="none" strike="noStrike">
                <a:solidFill>
                  <a:srgbClr val="595959"/>
                </a:solidFill>
                <a:uFillTx/>
                <a:latin typeface="Aptos Narrow"/>
              </a:rPr>
              <a:t>Aggression growing after playing for a longer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parent!$B$39:$B$42</c:f>
              <c:strCache>
                <c:ptCount val="4"/>
                <c:pt idx="0">
                  <c:v>No</c:v>
                </c:pt>
                <c:pt idx="1">
                  <c:v>Less aggression</c:v>
                </c:pt>
                <c:pt idx="2">
                  <c:v>More aggression</c:v>
                </c:pt>
                <c:pt idx="3">
                  <c:v>Significantly more aggression</c:v>
                </c:pt>
              </c:strCache>
            </c:strRef>
          </c:cat>
          <c:val>
            <c:numRef>
              <c:f>parent!$C$39:$C$42</c:f>
              <c:numCache>
                <c:formatCode>0\ %</c:formatCode>
                <c:ptCount val="4"/>
                <c:pt idx="0">
                  <c:v>0.5</c:v>
                </c:pt>
                <c:pt idx="1">
                  <c:v>0.2</c:v>
                </c:pt>
                <c:pt idx="2">
                  <c:v>0.25</c:v>
                </c:pt>
                <c:pt idx="3">
                  <c:v>0.05</c:v>
                </c:pt>
              </c:numCache>
            </c:numRef>
          </c:val>
        </c:ser>
        <c:gapWidth val="182"/>
        <c:overlap val="0"/>
        <c:axId val="12132986"/>
        <c:axId val="13987016"/>
      </c:barChart>
      <c:catAx>
        <c:axId val="121329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13987016"/>
        <c:crosses val="autoZero"/>
        <c:auto val="1"/>
        <c:lblAlgn val="ctr"/>
        <c:lblOffset val="100"/>
        <c:noMultiLvlLbl val="0"/>
      </c:catAx>
      <c:valAx>
        <c:axId val="139870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121329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hu-HU" sz="1400" b="1" u="none" strike="noStrike">
                <a:solidFill>
                  <a:srgbClr val="595959"/>
                </a:solidFill>
                <a:uFillTx/>
                <a:latin typeface="Aptos Narrow"/>
              </a:rPr>
              <a:t>Do they play</a:t>
            </a:r>
            <a:r>
              <a:rPr lang="hu-HU" sz="1400" b="1" u="none" strike="noStrike">
                <a:solidFill>
                  <a:srgbClr val="595959"/>
                </a:solidFill>
                <a:uFillTx/>
                <a:latin typeface="Aptos Narrow"/>
              </a:rPr>
              <a:t> alone or with friends?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Sheet3!$E$16</c:f>
              <c:strCache>
                <c:ptCount val="1"/>
                <c:pt idx="0">
                  <c:v>Student</c:v>
                </c:pt>
              </c:strCache>
            </c:strRef>
          </c:tx>
          <c:spPr>
            <a:solidFill>
              <a:srgbClr val="4ea72e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Sheet3!$D$17:$D$21</c:f>
              <c:strCache>
                <c:ptCount val="5"/>
                <c:pt idx="0">
                  <c:v>Only with friends</c:v>
                </c:pt>
                <c:pt idx="1">
                  <c:v>Mainly with friedns</c:v>
                </c:pt>
                <c:pt idx="2">
                  <c:v>Equally</c:v>
                </c:pt>
                <c:pt idx="3">
                  <c:v>Mainly alone</c:v>
                </c:pt>
                <c:pt idx="4">
                  <c:v>Only alone</c:v>
                </c:pt>
              </c:strCache>
            </c:strRef>
          </c:cat>
          <c:val>
            <c:numRef>
              <c:f>student!$C$59:$C$63</c:f>
              <c:numCache>
                <c:formatCode>0\ %</c:formatCode>
                <c:ptCount val="5"/>
                <c:pt idx="0">
                  <c:v>0.117647058823529</c:v>
                </c:pt>
                <c:pt idx="1">
                  <c:v>0.294117647058824</c:v>
                </c:pt>
                <c:pt idx="2">
                  <c:v>0.264705882352941</c:v>
                </c:pt>
                <c:pt idx="3">
                  <c:v>0.176470588235294</c:v>
                </c:pt>
                <c:pt idx="4">
                  <c:v>0.147058823529412</c:v>
                </c:pt>
              </c:numCache>
            </c:numRef>
          </c:val>
        </c:ser>
        <c:ser>
          <c:idx val="1"/>
          <c:order val="1"/>
          <c:tx>
            <c:strRef>
              <c:f>Sheet3!$F$16</c:f>
              <c:strCache>
                <c:ptCount val="1"/>
                <c:pt idx="0">
                  <c:v>Parent</c:v>
                </c:pt>
              </c:strCache>
            </c:strRef>
          </c:tx>
          <c:spPr>
            <a:solidFill>
              <a:srgbClr val="a02b9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Sheet3!$D$17:$D$21</c:f>
              <c:strCache>
                <c:ptCount val="5"/>
                <c:pt idx="0">
                  <c:v>Only with friends</c:v>
                </c:pt>
                <c:pt idx="1">
                  <c:v>Mainly with friedns</c:v>
                </c:pt>
                <c:pt idx="2">
                  <c:v>Equally</c:v>
                </c:pt>
                <c:pt idx="3">
                  <c:v>Mainly alone</c:v>
                </c:pt>
                <c:pt idx="4">
                  <c:v>Only alone</c:v>
                </c:pt>
              </c:strCache>
            </c:strRef>
          </c:cat>
          <c:val>
            <c:numRef>
              <c:f>parent!$C$25:$C$29</c:f>
              <c:numCache>
                <c:formatCode>0\ %</c:formatCode>
                <c:ptCount val="5"/>
                <c:pt idx="0">
                  <c:v>0.08</c:v>
                </c:pt>
                <c:pt idx="1">
                  <c:v>0.18</c:v>
                </c:pt>
                <c:pt idx="2">
                  <c:v>0.24</c:v>
                </c:pt>
                <c:pt idx="3">
                  <c:v>0.31</c:v>
                </c:pt>
                <c:pt idx="4">
                  <c:v>0.19</c:v>
                </c:pt>
              </c:numCache>
            </c:numRef>
          </c:val>
        </c:ser>
        <c:gapWidth val="219"/>
        <c:overlap val="-27"/>
        <c:axId val="50651246"/>
        <c:axId val="61459546"/>
      </c:barChart>
      <c:catAx>
        <c:axId val="506512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61459546"/>
        <c:crosses val="autoZero"/>
        <c:auto val="1"/>
        <c:lblAlgn val="ctr"/>
        <c:lblOffset val="100"/>
        <c:noMultiLvlLbl val="0"/>
      </c:catAx>
      <c:valAx>
        <c:axId val="614595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506512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Relationship Id="rId7" Type="http://schemas.openxmlformats.org/officeDocument/2006/relationships/chart" Target="../charts/chart9.xml"/><Relationship Id="rId8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490680</xdr:colOff>
      <xdr:row>43</xdr:row>
      <xdr:rowOff>128520</xdr:rowOff>
    </xdr:from>
    <xdr:to>
      <xdr:col>17</xdr:col>
      <xdr:colOff>185400</xdr:colOff>
      <xdr:row>58</xdr:row>
      <xdr:rowOff>14040</xdr:rowOff>
    </xdr:to>
    <xdr:graphicFrame>
      <xdr:nvGraphicFramePr>
        <xdr:cNvPr id="1" name="Chart 23"/>
        <xdr:cNvGraphicFramePr/>
      </xdr:nvGraphicFramePr>
      <xdr:xfrm>
        <a:off x="7106040" y="8319960"/>
        <a:ext cx="39366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480960</xdr:colOff>
      <xdr:row>37</xdr:row>
      <xdr:rowOff>100080</xdr:rowOff>
    </xdr:from>
    <xdr:to>
      <xdr:col>18</xdr:col>
      <xdr:colOff>175680</xdr:colOff>
      <xdr:row>51</xdr:row>
      <xdr:rowOff>176040</xdr:rowOff>
    </xdr:to>
    <xdr:graphicFrame>
      <xdr:nvGraphicFramePr>
        <xdr:cNvPr id="2" name="Chart 6"/>
        <xdr:cNvGraphicFramePr/>
      </xdr:nvGraphicFramePr>
      <xdr:xfrm>
        <a:off x="8117640" y="7148520"/>
        <a:ext cx="39362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280800</xdr:colOff>
      <xdr:row>2</xdr:row>
      <xdr:rowOff>78120</xdr:rowOff>
    </xdr:from>
    <xdr:to>
      <xdr:col>15</xdr:col>
      <xdr:colOff>138600</xdr:colOff>
      <xdr:row>22</xdr:row>
      <xdr:rowOff>63360</xdr:rowOff>
    </xdr:to>
    <xdr:graphicFrame>
      <xdr:nvGraphicFramePr>
        <xdr:cNvPr id="3" name="Chart 3"/>
        <xdr:cNvGraphicFramePr/>
      </xdr:nvGraphicFramePr>
      <xdr:xfrm>
        <a:off x="4008960" y="459000"/>
        <a:ext cx="4629600" cy="379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58320</xdr:colOff>
      <xdr:row>2</xdr:row>
      <xdr:rowOff>12600</xdr:rowOff>
    </xdr:from>
    <xdr:to>
      <xdr:col>24</xdr:col>
      <xdr:colOff>339480</xdr:colOff>
      <xdr:row>16</xdr:row>
      <xdr:rowOff>88560</xdr:rowOff>
    </xdr:to>
    <xdr:graphicFrame>
      <xdr:nvGraphicFramePr>
        <xdr:cNvPr id="4" name="Chart 4"/>
        <xdr:cNvGraphicFramePr/>
      </xdr:nvGraphicFramePr>
      <xdr:xfrm>
        <a:off x="9618840" y="393480"/>
        <a:ext cx="39927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213840</xdr:colOff>
      <xdr:row>18</xdr:row>
      <xdr:rowOff>124560</xdr:rowOff>
    </xdr:from>
    <xdr:to>
      <xdr:col>25</xdr:col>
      <xdr:colOff>68040</xdr:colOff>
      <xdr:row>35</xdr:row>
      <xdr:rowOff>114840</xdr:rowOff>
    </xdr:to>
    <xdr:graphicFrame>
      <xdr:nvGraphicFramePr>
        <xdr:cNvPr id="5" name="Chart 5"/>
        <xdr:cNvGraphicFramePr/>
      </xdr:nvGraphicFramePr>
      <xdr:xfrm>
        <a:off x="9774360" y="3553560"/>
        <a:ext cx="4096080" cy="322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448200</xdr:colOff>
      <xdr:row>2</xdr:row>
      <xdr:rowOff>52200</xdr:rowOff>
    </xdr:from>
    <xdr:to>
      <xdr:col>34</xdr:col>
      <xdr:colOff>340560</xdr:colOff>
      <xdr:row>23</xdr:row>
      <xdr:rowOff>47160</xdr:rowOff>
    </xdr:to>
    <xdr:graphicFrame>
      <xdr:nvGraphicFramePr>
        <xdr:cNvPr id="6" name="Chart 6"/>
        <xdr:cNvGraphicFramePr/>
      </xdr:nvGraphicFramePr>
      <xdr:xfrm>
        <a:off x="14250600" y="433080"/>
        <a:ext cx="4664520" cy="39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489600</xdr:colOff>
      <xdr:row>35</xdr:row>
      <xdr:rowOff>162000</xdr:rowOff>
    </xdr:from>
    <xdr:to>
      <xdr:col>26</xdr:col>
      <xdr:colOff>3600</xdr:colOff>
      <xdr:row>52</xdr:row>
      <xdr:rowOff>42480</xdr:rowOff>
    </xdr:to>
    <xdr:graphicFrame>
      <xdr:nvGraphicFramePr>
        <xdr:cNvPr id="7" name="Chart 7"/>
        <xdr:cNvGraphicFramePr/>
      </xdr:nvGraphicFramePr>
      <xdr:xfrm>
        <a:off x="9519840" y="6829560"/>
        <a:ext cx="4816440" cy="3119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26</xdr:col>
      <xdr:colOff>85680</xdr:colOff>
      <xdr:row>24</xdr:row>
      <xdr:rowOff>9360</xdr:rowOff>
    </xdr:from>
    <xdr:to>
      <xdr:col>33</xdr:col>
      <xdr:colOff>421560</xdr:colOff>
      <xdr:row>38</xdr:row>
      <xdr:rowOff>85680</xdr:rowOff>
    </xdr:to>
    <xdr:graphicFrame>
      <xdr:nvGraphicFramePr>
        <xdr:cNvPr id="8" name="Chart 8"/>
        <xdr:cNvGraphicFramePr/>
      </xdr:nvGraphicFramePr>
      <xdr:xfrm>
        <a:off x="14418360" y="4581360"/>
        <a:ext cx="4047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27</xdr:col>
      <xdr:colOff>83520</xdr:colOff>
      <xdr:row>38</xdr:row>
      <xdr:rowOff>149760</xdr:rowOff>
    </xdr:from>
    <xdr:to>
      <xdr:col>34</xdr:col>
      <xdr:colOff>337320</xdr:colOff>
      <xdr:row>53</xdr:row>
      <xdr:rowOff>35280</xdr:rowOff>
    </xdr:to>
    <xdr:graphicFrame>
      <xdr:nvGraphicFramePr>
        <xdr:cNvPr id="9" name="Chart 9"/>
        <xdr:cNvGraphicFramePr/>
      </xdr:nvGraphicFramePr>
      <xdr:xfrm>
        <a:off x="14946480" y="7388640"/>
        <a:ext cx="3965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378720</xdr:colOff>
      <xdr:row>22</xdr:row>
      <xdr:rowOff>142920</xdr:rowOff>
    </xdr:from>
    <xdr:to>
      <xdr:col>16</xdr:col>
      <xdr:colOff>92520</xdr:colOff>
      <xdr:row>39</xdr:row>
      <xdr:rowOff>167040</xdr:rowOff>
    </xdr:to>
    <xdr:graphicFrame>
      <xdr:nvGraphicFramePr>
        <xdr:cNvPr id="10" name="Chart 2"/>
        <xdr:cNvGraphicFramePr/>
      </xdr:nvGraphicFramePr>
      <xdr:xfrm>
        <a:off x="4106880" y="4334040"/>
        <a:ext cx="5015880" cy="326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E45" activeCellId="0" sqref="E45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23.72"/>
    <col collapsed="false" customWidth="true" hidden="false" outlineLevel="0" max="2" min="2" style="0" width="24.4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B2" s="0" t="n">
        <v>12</v>
      </c>
      <c r="C2" s="0" t="n">
        <v>11</v>
      </c>
    </row>
    <row r="3" customFormat="false" ht="15" hidden="false" customHeight="false" outlineLevel="0" collapsed="false">
      <c r="B3" s="0" t="n">
        <v>13</v>
      </c>
      <c r="C3" s="0" t="n">
        <v>11</v>
      </c>
    </row>
    <row r="4" customFormat="false" ht="15" hidden="false" customHeight="false" outlineLevel="0" collapsed="false">
      <c r="B4" s="0" t="n">
        <v>14</v>
      </c>
      <c r="C4" s="0" t="n">
        <v>13</v>
      </c>
    </row>
    <row r="5" customFormat="false" ht="15" hidden="false" customHeight="false" outlineLevel="0" collapsed="false">
      <c r="B5" s="0" t="n">
        <v>15</v>
      </c>
      <c r="C5" s="0" t="n">
        <v>14</v>
      </c>
    </row>
    <row r="6" customFormat="false" ht="15" hidden="false" customHeight="false" outlineLevel="0" collapsed="false">
      <c r="B6" s="0" t="n">
        <v>16</v>
      </c>
      <c r="C6" s="0" t="n">
        <v>13</v>
      </c>
    </row>
    <row r="7" customFormat="false" ht="15" hidden="false" customHeight="false" outlineLevel="0" collapsed="false">
      <c r="B7" s="0" t="n">
        <v>17</v>
      </c>
      <c r="C7" s="0" t="n">
        <v>13</v>
      </c>
    </row>
    <row r="8" customFormat="false" ht="15" hidden="false" customHeight="false" outlineLevel="0" collapsed="false">
      <c r="B8" s="0" t="n">
        <v>18</v>
      </c>
      <c r="C8" s="0" t="n">
        <v>11</v>
      </c>
    </row>
    <row r="9" customFormat="false" ht="15" hidden="false" customHeight="false" outlineLevel="0" collapsed="false">
      <c r="B9" s="0" t="n">
        <v>19</v>
      </c>
      <c r="C9" s="0" t="n">
        <v>8</v>
      </c>
    </row>
    <row r="10" customFormat="false" ht="15" hidden="false" customHeight="false" outlineLevel="0" collapsed="false">
      <c r="B10" s="0" t="n">
        <v>20</v>
      </c>
      <c r="C10" s="0" t="n">
        <v>6</v>
      </c>
    </row>
    <row r="11" customFormat="false" ht="15" hidden="false" customHeight="false" outlineLevel="0" collapsed="false">
      <c r="A11" s="0" t="s">
        <v>9</v>
      </c>
    </row>
    <row r="12" customFormat="false" ht="15" hidden="false" customHeight="false" outlineLevel="0" collapsed="false">
      <c r="B12" s="0" t="s">
        <v>10</v>
      </c>
      <c r="C12" s="0" t="n">
        <v>52</v>
      </c>
    </row>
    <row r="13" customFormat="false" ht="15" hidden="false" customHeight="false" outlineLevel="0" collapsed="false">
      <c r="B13" s="0" t="s">
        <v>11</v>
      </c>
      <c r="C13" s="0" t="n">
        <v>45</v>
      </c>
    </row>
    <row r="14" customFormat="false" ht="15" hidden="false" customHeight="false" outlineLevel="0" collapsed="false">
      <c r="B14" s="0" t="s">
        <v>5</v>
      </c>
      <c r="C14" s="0" t="n">
        <v>3</v>
      </c>
    </row>
    <row r="15" customFormat="false" ht="15" hidden="false" customHeight="false" outlineLevel="0" collapsed="false">
      <c r="A15" s="0" t="s">
        <v>12</v>
      </c>
    </row>
    <row r="16" customFormat="false" ht="15" hidden="false" customHeight="false" outlineLevel="0" collapsed="false">
      <c r="B16" s="0" t="s">
        <v>13</v>
      </c>
      <c r="C16" s="1" t="n">
        <v>0.61</v>
      </c>
      <c r="D16" s="0" t="n">
        <v>50</v>
      </c>
      <c r="E16" s="0" t="n">
        <v>40</v>
      </c>
      <c r="F16" s="0" t="n">
        <v>45</v>
      </c>
      <c r="G16" s="0" t="n">
        <v>50</v>
      </c>
      <c r="H16" s="0" t="n">
        <v>55</v>
      </c>
      <c r="I16" s="0" t="n">
        <v>50</v>
      </c>
    </row>
    <row r="17" customFormat="false" ht="15" hidden="false" customHeight="false" outlineLevel="0" collapsed="false">
      <c r="B17" s="0" t="s">
        <v>14</v>
      </c>
      <c r="C17" s="1" t="n">
        <v>0.49</v>
      </c>
      <c r="D17" s="0" t="n">
        <v>45</v>
      </c>
      <c r="E17" s="0" t="n">
        <v>30</v>
      </c>
      <c r="F17" s="0" t="n">
        <v>35</v>
      </c>
      <c r="G17" s="0" t="n">
        <v>35</v>
      </c>
      <c r="H17" s="0" t="n">
        <v>40</v>
      </c>
      <c r="I17" s="0" t="n">
        <v>40</v>
      </c>
    </row>
    <row r="18" customFormat="false" ht="15" hidden="false" customHeight="false" outlineLevel="0" collapsed="false">
      <c r="B18" s="0" t="s">
        <v>15</v>
      </c>
      <c r="C18" s="1" t="n">
        <v>0.37</v>
      </c>
      <c r="D18" s="0" t="n">
        <v>55</v>
      </c>
      <c r="E18" s="0" t="n">
        <v>55</v>
      </c>
      <c r="F18" s="0" t="n">
        <v>55</v>
      </c>
      <c r="G18" s="0" t="n">
        <v>60</v>
      </c>
      <c r="H18" s="0" t="n">
        <v>55</v>
      </c>
      <c r="I18" s="0" t="n">
        <v>50</v>
      </c>
    </row>
    <row r="19" customFormat="false" ht="15" hidden="false" customHeight="false" outlineLevel="0" collapsed="false">
      <c r="B19" s="0" t="s">
        <v>16</v>
      </c>
      <c r="C19" s="1" t="n">
        <v>0.28</v>
      </c>
      <c r="D19" s="0" t="n">
        <v>30</v>
      </c>
      <c r="E19" s="0" t="n">
        <v>30</v>
      </c>
      <c r="F19" s="0" t="n">
        <v>30</v>
      </c>
      <c r="G19" s="0" t="n">
        <v>25</v>
      </c>
      <c r="H19" s="0" t="n">
        <v>30</v>
      </c>
      <c r="I19" s="0" t="n">
        <v>35</v>
      </c>
    </row>
    <row r="20" customFormat="false" ht="15" hidden="false" customHeight="false" outlineLevel="0" collapsed="false">
      <c r="B20" s="0" t="s">
        <v>17</v>
      </c>
      <c r="C20" s="1" t="n">
        <v>0.23</v>
      </c>
      <c r="D20" s="0" t="n">
        <v>55</v>
      </c>
      <c r="E20" s="0" t="n">
        <v>65</v>
      </c>
      <c r="F20" s="0" t="n">
        <v>60</v>
      </c>
      <c r="G20" s="0" t="n">
        <v>65</v>
      </c>
      <c r="H20" s="0" t="n">
        <v>60</v>
      </c>
      <c r="I20" s="0" t="n">
        <v>50</v>
      </c>
    </row>
    <row r="21" customFormat="false" ht="15" hidden="false" customHeight="false" outlineLevel="0" collapsed="false">
      <c r="B21" s="0" t="s">
        <v>18</v>
      </c>
      <c r="C21" s="1" t="n">
        <v>0.19</v>
      </c>
    </row>
    <row r="22" customFormat="false" ht="15" hidden="false" customHeight="false" outlineLevel="0" collapsed="false">
      <c r="A22" s="0" t="s">
        <v>19</v>
      </c>
    </row>
    <row r="23" customFormat="false" ht="15" hidden="false" customHeight="false" outlineLevel="0" collapsed="false">
      <c r="B23" s="0" t="s">
        <v>20</v>
      </c>
      <c r="C23" s="1" t="n">
        <v>0.05</v>
      </c>
      <c r="D23" s="0" t="n">
        <v>5</v>
      </c>
      <c r="E23" s="0" t="n">
        <v>5</v>
      </c>
      <c r="F23" s="0" t="n">
        <v>5</v>
      </c>
      <c r="G23" s="0" t="n">
        <v>5</v>
      </c>
      <c r="H23" s="0" t="n">
        <v>5</v>
      </c>
      <c r="I23" s="0" t="n">
        <v>5</v>
      </c>
    </row>
    <row r="24" customFormat="false" ht="15" hidden="false" customHeight="false" outlineLevel="0" collapsed="false">
      <c r="B24" s="0" t="s">
        <v>21</v>
      </c>
      <c r="C24" s="1" t="n">
        <v>0.15</v>
      </c>
      <c r="D24" s="0" t="n">
        <v>15</v>
      </c>
      <c r="E24" s="0" t="n">
        <v>15</v>
      </c>
      <c r="F24" s="0" t="n">
        <v>15</v>
      </c>
      <c r="G24" s="0" t="n">
        <v>15</v>
      </c>
      <c r="H24" s="0" t="n">
        <v>15</v>
      </c>
      <c r="I24" s="0" t="n">
        <v>15</v>
      </c>
    </row>
    <row r="25" customFormat="false" ht="15" hidden="false" customHeight="false" outlineLevel="0" collapsed="false">
      <c r="B25" s="2" t="s">
        <v>22</v>
      </c>
      <c r="C25" s="1" t="n">
        <v>0.3</v>
      </c>
      <c r="D25" s="0" t="n">
        <v>30</v>
      </c>
      <c r="E25" s="0" t="n">
        <v>30</v>
      </c>
      <c r="F25" s="0" t="n">
        <v>30</v>
      </c>
      <c r="G25" s="0" t="n">
        <v>30</v>
      </c>
      <c r="H25" s="0" t="n">
        <v>30</v>
      </c>
      <c r="I25" s="0" t="n">
        <v>30</v>
      </c>
    </row>
    <row r="26" customFormat="false" ht="15" hidden="false" customHeight="false" outlineLevel="0" collapsed="false">
      <c r="B26" s="3" t="s">
        <v>23</v>
      </c>
      <c r="C26" s="1" t="n">
        <v>0.3</v>
      </c>
      <c r="D26" s="0" t="n">
        <v>30</v>
      </c>
      <c r="E26" s="0" t="n">
        <v>30</v>
      </c>
      <c r="F26" s="0" t="n">
        <v>30</v>
      </c>
      <c r="G26" s="0" t="n">
        <v>30</v>
      </c>
      <c r="H26" s="0" t="n">
        <v>35</v>
      </c>
      <c r="I26" s="0" t="n">
        <v>30</v>
      </c>
    </row>
    <row r="27" customFormat="false" ht="15" hidden="false" customHeight="false" outlineLevel="0" collapsed="false">
      <c r="B27" s="0" t="s">
        <v>24</v>
      </c>
      <c r="C27" s="1" t="n">
        <v>0.12</v>
      </c>
      <c r="D27" s="0" t="n">
        <v>15</v>
      </c>
      <c r="E27" s="0" t="n">
        <v>15</v>
      </c>
      <c r="F27" s="0" t="n">
        <v>15</v>
      </c>
      <c r="G27" s="0" t="n">
        <v>12</v>
      </c>
      <c r="H27" s="0" t="n">
        <v>10</v>
      </c>
      <c r="I27" s="0" t="n">
        <v>12</v>
      </c>
    </row>
    <row r="28" customFormat="false" ht="15" hidden="false" customHeight="false" outlineLevel="0" collapsed="false">
      <c r="B28" s="0" t="s">
        <v>25</v>
      </c>
      <c r="C28" s="1" t="n">
        <v>0.05</v>
      </c>
      <c r="D28" s="0" t="n">
        <v>5</v>
      </c>
      <c r="E28" s="0" t="n">
        <v>5</v>
      </c>
      <c r="F28" s="0" t="n">
        <v>5</v>
      </c>
      <c r="G28" s="0" t="n">
        <v>5</v>
      </c>
      <c r="H28" s="0" t="n">
        <v>5</v>
      </c>
      <c r="I28" s="0" t="n">
        <v>5</v>
      </c>
    </row>
    <row r="29" customFormat="false" ht="15" hidden="false" customHeight="false" outlineLevel="0" collapsed="false">
      <c r="B29" s="0" t="s">
        <v>26</v>
      </c>
      <c r="C29" s="1" t="n">
        <v>0.03</v>
      </c>
      <c r="D29" s="0" t="n">
        <v>3</v>
      </c>
      <c r="E29" s="0" t="n">
        <v>3</v>
      </c>
      <c r="F29" s="0" t="n">
        <v>3</v>
      </c>
      <c r="G29" s="0" t="n">
        <v>3</v>
      </c>
      <c r="H29" s="0" t="n">
        <v>2</v>
      </c>
      <c r="I29" s="0" t="n">
        <v>3</v>
      </c>
    </row>
    <row r="30" customFormat="false" ht="15" hidden="false" customHeight="false" outlineLevel="0" collapsed="false">
      <c r="A30" s="0" t="s">
        <v>27</v>
      </c>
    </row>
    <row r="31" customFormat="false" ht="15" hidden="false" customHeight="false" outlineLevel="0" collapsed="false">
      <c r="B31" s="0" t="n">
        <v>0</v>
      </c>
      <c r="C31" s="0" t="n">
        <v>40</v>
      </c>
      <c r="D31" s="0" t="n">
        <v>40</v>
      </c>
      <c r="E31" s="0" t="n">
        <v>45</v>
      </c>
      <c r="F31" s="0" t="n">
        <v>45</v>
      </c>
      <c r="G31" s="0" t="n">
        <v>45</v>
      </c>
      <c r="H31" s="0" t="n">
        <v>40</v>
      </c>
      <c r="I31" s="0" t="n">
        <v>40</v>
      </c>
    </row>
    <row r="32" customFormat="false" ht="15" hidden="false" customHeight="false" outlineLevel="0" collapsed="false">
      <c r="B32" s="0" t="n">
        <v>20</v>
      </c>
      <c r="C32" s="0" t="n">
        <v>30</v>
      </c>
      <c r="D32" s="0" t="n">
        <v>30</v>
      </c>
      <c r="E32" s="0" t="n">
        <v>25</v>
      </c>
      <c r="F32" s="0" t="n">
        <v>25</v>
      </c>
      <c r="G32" s="0" t="n">
        <v>30</v>
      </c>
      <c r="H32" s="0" t="n">
        <v>35</v>
      </c>
      <c r="I32" s="0" t="n">
        <v>30</v>
      </c>
    </row>
    <row r="33" customFormat="false" ht="15" hidden="false" customHeight="false" outlineLevel="0" collapsed="false">
      <c r="B33" s="0" t="n">
        <v>50</v>
      </c>
      <c r="C33" s="0" t="n">
        <v>15</v>
      </c>
      <c r="D33" s="0" t="n">
        <v>15</v>
      </c>
      <c r="E33" s="0" t="n">
        <v>15</v>
      </c>
      <c r="F33" s="0" t="n">
        <v>15</v>
      </c>
      <c r="G33" s="0" t="n">
        <v>15</v>
      </c>
      <c r="H33" s="0" t="n">
        <v>15</v>
      </c>
      <c r="I33" s="0" t="n">
        <v>15</v>
      </c>
    </row>
    <row r="34" customFormat="false" ht="15" hidden="false" customHeight="false" outlineLevel="0" collapsed="false">
      <c r="B34" s="0" t="n">
        <v>100</v>
      </c>
      <c r="C34" s="0" t="n">
        <v>7</v>
      </c>
      <c r="D34" s="0" t="n">
        <v>7</v>
      </c>
      <c r="E34" s="0" t="n">
        <v>8</v>
      </c>
      <c r="F34" s="0" t="n">
        <v>7</v>
      </c>
      <c r="G34" s="0" t="n">
        <v>7</v>
      </c>
      <c r="H34" s="0" t="n">
        <v>7</v>
      </c>
      <c r="I34" s="0" t="n">
        <v>7</v>
      </c>
    </row>
    <row r="35" customFormat="false" ht="15" hidden="false" customHeight="false" outlineLevel="0" collapsed="false">
      <c r="B35" s="0" t="s">
        <v>28</v>
      </c>
      <c r="C35" s="0" t="n">
        <v>3</v>
      </c>
      <c r="D35" s="0" t="n">
        <v>3</v>
      </c>
      <c r="E35" s="0" t="n">
        <v>3</v>
      </c>
      <c r="F35" s="0" t="n">
        <v>3</v>
      </c>
      <c r="G35" s="0" t="n">
        <v>3</v>
      </c>
      <c r="H35" s="0" t="n">
        <v>2</v>
      </c>
      <c r="I35" s="0" t="n">
        <v>3</v>
      </c>
    </row>
    <row r="36" customFormat="false" ht="15" hidden="false" customHeight="false" outlineLevel="0" collapsed="false">
      <c r="B36" s="0" t="s">
        <v>29</v>
      </c>
      <c r="C36" s="0" t="n">
        <v>5</v>
      </c>
      <c r="D36" s="0" t="n">
        <v>5</v>
      </c>
      <c r="E36" s="0" t="n">
        <v>4</v>
      </c>
      <c r="F36" s="0" t="n">
        <v>5</v>
      </c>
      <c r="G36" s="0" t="n">
        <v>5</v>
      </c>
      <c r="H36" s="0" t="n">
        <v>5</v>
      </c>
      <c r="I36" s="0" t="n">
        <v>5</v>
      </c>
    </row>
    <row r="37" customFormat="false" ht="15" hidden="false" customHeight="false" outlineLevel="0" collapsed="false">
      <c r="A37" s="0" t="s">
        <v>30</v>
      </c>
    </row>
    <row r="38" customFormat="false" ht="15" hidden="false" customHeight="false" outlineLevel="0" collapsed="false">
      <c r="B38" s="0" t="s">
        <v>31</v>
      </c>
      <c r="C38" s="0" t="n">
        <v>5</v>
      </c>
      <c r="D38" s="0" t="n">
        <v>7</v>
      </c>
      <c r="E38" s="0" t="n">
        <v>2</v>
      </c>
      <c r="F38" s="0" t="n">
        <v>3</v>
      </c>
      <c r="G38" s="0" t="n">
        <v>7</v>
      </c>
      <c r="H38" s="0" t="n">
        <v>6</v>
      </c>
      <c r="I38" s="0" t="n">
        <v>3</v>
      </c>
    </row>
    <row r="39" customFormat="false" ht="15" hidden="false" customHeight="false" outlineLevel="0" collapsed="false">
      <c r="B39" s="0" t="s">
        <v>32</v>
      </c>
      <c r="C39" s="0" t="n">
        <v>95</v>
      </c>
      <c r="D39" s="0" t="n">
        <v>93</v>
      </c>
      <c r="E39" s="0" t="n">
        <v>98</v>
      </c>
      <c r="F39" s="0" t="n">
        <v>97</v>
      </c>
      <c r="G39" s="0" t="n">
        <v>93</v>
      </c>
      <c r="H39" s="0" t="n">
        <v>94</v>
      </c>
      <c r="I39" s="0" t="n">
        <v>97</v>
      </c>
    </row>
    <row r="40" customFormat="false" ht="15" hidden="false" customHeight="false" outlineLevel="0" collapsed="false">
      <c r="A40" s="0" t="s">
        <v>33</v>
      </c>
      <c r="C40" s="0" t="s">
        <v>34</v>
      </c>
      <c r="D40" s="0" t="s">
        <v>35</v>
      </c>
      <c r="E40" s="0" t="s">
        <v>4</v>
      </c>
      <c r="F40" s="0" t="s">
        <v>5</v>
      </c>
    </row>
    <row r="41" customFormat="false" ht="15" hidden="false" customHeight="false" outlineLevel="0" collapsed="false">
      <c r="B41" s="0" t="s">
        <v>36</v>
      </c>
      <c r="C41" s="1" t="n">
        <f aca="false">PRODUCT(SUM(D41:F41)/SUM($D$41:$F$43))</f>
        <v>0.457126164209369</v>
      </c>
      <c r="D41" s="1" t="n">
        <f aca="false">PRODUCT(G41/SUM($G$41:$G$43))</f>
        <v>0.622950819672131</v>
      </c>
      <c r="E41" s="1" t="n">
        <f aca="false">PRODUCT(H41/SUM($H$41:$H$43))</f>
        <v>0.415094339622642</v>
      </c>
      <c r="F41" s="1" t="n">
        <f aca="false">PRODUCT(I41/SUM($I$41:$I$43))</f>
        <v>0.333333333333333</v>
      </c>
      <c r="G41" s="0" t="n">
        <v>38</v>
      </c>
      <c r="H41" s="0" t="n">
        <v>22</v>
      </c>
      <c r="I41" s="0" t="n">
        <v>1</v>
      </c>
    </row>
    <row r="42" customFormat="false" ht="15" hidden="false" customHeight="false" outlineLevel="0" collapsed="false">
      <c r="B42" s="0" t="s">
        <v>37</v>
      </c>
      <c r="C42" s="1" t="n">
        <f aca="false">PRODUCT(SUM(D42:F42)/SUM($D$41:$F$43))</f>
        <v>0.30082139052136</v>
      </c>
      <c r="D42" s="1" t="n">
        <f aca="false">PRODUCT(G42/SUM($G$41:$G$43))</f>
        <v>0.229508196721311</v>
      </c>
      <c r="E42" s="1" t="n">
        <f aca="false">PRODUCT(H42/SUM($H$41:$H$43))</f>
        <v>0.339622641509434</v>
      </c>
      <c r="F42" s="1" t="n">
        <f aca="false">PRODUCT(I42/SUM($I$41:$I$43))</f>
        <v>0.333333333333333</v>
      </c>
      <c r="G42" s="0" t="n">
        <v>14</v>
      </c>
      <c r="H42" s="0" t="n">
        <v>18</v>
      </c>
      <c r="I42" s="0" t="n">
        <v>1</v>
      </c>
    </row>
    <row r="43" customFormat="false" ht="15" hidden="false" customHeight="false" outlineLevel="0" collapsed="false">
      <c r="B43" s="0" t="s">
        <v>38</v>
      </c>
      <c r="C43" s="1" t="n">
        <f aca="false">PRODUCT(SUM(D43:F43)/SUM($D$41:$F$43))</f>
        <v>0.242052445269272</v>
      </c>
      <c r="D43" s="1" t="n">
        <f aca="false">PRODUCT(G43/SUM($G$41:$G$43))</f>
        <v>0.147540983606557</v>
      </c>
      <c r="E43" s="1" t="n">
        <f aca="false">PRODUCT(H43/SUM($H$41:$H$43))</f>
        <v>0.245283018867925</v>
      </c>
      <c r="F43" s="1" t="n">
        <f aca="false">PRODUCT(I43/SUM($I$41:$I$43))</f>
        <v>0.333333333333333</v>
      </c>
      <c r="G43" s="0" t="n">
        <v>9</v>
      </c>
      <c r="H43" s="0" t="n">
        <v>13</v>
      </c>
      <c r="I43" s="0" t="n">
        <v>1</v>
      </c>
    </row>
    <row r="44" customFormat="false" ht="15" hidden="false" customHeight="false" outlineLevel="0" collapsed="false">
      <c r="A44" s="0" t="s">
        <v>39</v>
      </c>
    </row>
    <row r="45" customFormat="false" ht="15" hidden="false" customHeight="false" outlineLevel="0" collapsed="false">
      <c r="B45" s="0" t="s">
        <v>31</v>
      </c>
      <c r="C45" s="0" t="n">
        <v>35</v>
      </c>
      <c r="D45" s="0" t="n">
        <v>55</v>
      </c>
      <c r="E45" s="0" t="n">
        <v>30</v>
      </c>
      <c r="F45" s="0" t="n">
        <v>30</v>
      </c>
      <c r="G45" s="0" t="n">
        <v>35</v>
      </c>
      <c r="H45" s="0" t="n">
        <v>45</v>
      </c>
      <c r="I45" s="0" t="n">
        <v>40</v>
      </c>
    </row>
    <row r="46" customFormat="false" ht="15" hidden="false" customHeight="false" outlineLevel="0" collapsed="false">
      <c r="B46" s="0" t="s">
        <v>40</v>
      </c>
      <c r="C46" s="0" t="n">
        <v>40</v>
      </c>
      <c r="D46" s="0" t="n">
        <v>35</v>
      </c>
      <c r="E46" s="0" t="n">
        <v>40</v>
      </c>
      <c r="F46" s="0" t="n">
        <v>40</v>
      </c>
      <c r="G46" s="0" t="n">
        <v>40</v>
      </c>
      <c r="H46" s="0" t="n">
        <v>35</v>
      </c>
      <c r="I46" s="0" t="n">
        <v>35</v>
      </c>
    </row>
    <row r="47" customFormat="false" ht="15" hidden="false" customHeight="false" outlineLevel="0" collapsed="false">
      <c r="B47" s="0" t="s">
        <v>32</v>
      </c>
      <c r="C47" s="0" t="n">
        <v>25</v>
      </c>
      <c r="D47" s="0" t="n">
        <v>10</v>
      </c>
      <c r="E47" s="0" t="n">
        <v>30</v>
      </c>
      <c r="F47" s="0" t="n">
        <v>30</v>
      </c>
      <c r="G47" s="0" t="n">
        <v>25</v>
      </c>
      <c r="H47" s="0" t="n">
        <v>20</v>
      </c>
      <c r="I47" s="0" t="n">
        <v>25</v>
      </c>
    </row>
    <row r="48" customFormat="false" ht="15" hidden="false" customHeight="false" outlineLevel="0" collapsed="false">
      <c r="A48" s="0" t="s">
        <v>41</v>
      </c>
    </row>
    <row r="49" customFormat="false" ht="15" hidden="false" customHeight="false" outlineLevel="0" collapsed="false">
      <c r="B49" s="0" t="s">
        <v>31</v>
      </c>
      <c r="C49" s="0" t="n">
        <v>15</v>
      </c>
      <c r="D49" s="0" t="n">
        <v>20</v>
      </c>
      <c r="E49" s="0" t="n">
        <v>10</v>
      </c>
      <c r="F49" s="0" t="n">
        <v>12</v>
      </c>
      <c r="G49" s="0" t="n">
        <v>20</v>
      </c>
      <c r="H49" s="0" t="n">
        <v>18</v>
      </c>
      <c r="I49" s="0" t="n">
        <v>10</v>
      </c>
    </row>
    <row r="50" customFormat="false" ht="15" hidden="false" customHeight="false" outlineLevel="0" collapsed="false">
      <c r="B50" s="0" t="s">
        <v>40</v>
      </c>
      <c r="C50" s="0" t="n">
        <v>35</v>
      </c>
      <c r="D50" s="0" t="n">
        <v>40</v>
      </c>
      <c r="E50" s="0" t="n">
        <v>30</v>
      </c>
      <c r="F50" s="0" t="n">
        <v>33</v>
      </c>
      <c r="G50" s="0" t="n">
        <v>40</v>
      </c>
      <c r="H50" s="0" t="n">
        <v>38</v>
      </c>
      <c r="I50" s="0" t="n">
        <v>25</v>
      </c>
    </row>
    <row r="51" customFormat="false" ht="15" hidden="false" customHeight="false" outlineLevel="0" collapsed="false">
      <c r="B51" s="0" t="s">
        <v>32</v>
      </c>
      <c r="C51" s="0" t="n">
        <v>50</v>
      </c>
      <c r="D51" s="0" t="n">
        <v>40</v>
      </c>
      <c r="E51" s="0" t="n">
        <v>60</v>
      </c>
      <c r="F51" s="0" t="n">
        <v>55</v>
      </c>
      <c r="G51" s="0" t="n">
        <v>40</v>
      </c>
      <c r="H51" s="0" t="n">
        <v>44</v>
      </c>
      <c r="I51" s="0" t="n">
        <v>65</v>
      </c>
    </row>
    <row r="52" customFormat="false" ht="15" hidden="false" customHeight="false" outlineLevel="0" collapsed="false">
      <c r="A52" s="0" t="s">
        <v>42</v>
      </c>
    </row>
    <row r="53" customFormat="false" ht="15" hidden="false" customHeight="false" outlineLevel="0" collapsed="false">
      <c r="B53" s="0" t="s">
        <v>43</v>
      </c>
      <c r="C53" s="0" t="n">
        <v>10</v>
      </c>
      <c r="D53" s="0" t="n">
        <v>10</v>
      </c>
      <c r="E53" s="0" t="n">
        <v>10</v>
      </c>
      <c r="F53" s="0" t="n">
        <v>10</v>
      </c>
      <c r="G53" s="0" t="n">
        <v>10</v>
      </c>
      <c r="H53" s="0" t="n">
        <v>10</v>
      </c>
      <c r="I53" s="0" t="n">
        <v>10</v>
      </c>
    </row>
    <row r="54" customFormat="false" ht="15" hidden="false" customHeight="false" outlineLevel="0" collapsed="false">
      <c r="B54" s="0" t="s">
        <v>44</v>
      </c>
      <c r="C54" s="0" t="n">
        <v>25</v>
      </c>
      <c r="D54" s="0" t="n">
        <v>25</v>
      </c>
      <c r="E54" s="0" t="n">
        <v>25</v>
      </c>
      <c r="F54" s="0" t="n">
        <v>25</v>
      </c>
      <c r="G54" s="0" t="n">
        <v>25</v>
      </c>
      <c r="H54" s="0" t="n">
        <v>25</v>
      </c>
      <c r="I54" s="0" t="n">
        <v>25</v>
      </c>
    </row>
    <row r="55" customFormat="false" ht="15" hidden="false" customHeight="false" outlineLevel="0" collapsed="false">
      <c r="B55" s="0" t="s">
        <v>45</v>
      </c>
      <c r="C55" s="0" t="n">
        <v>30</v>
      </c>
      <c r="D55" s="0" t="n">
        <v>30</v>
      </c>
      <c r="E55" s="0" t="n">
        <v>30</v>
      </c>
      <c r="F55" s="0" t="n">
        <v>30</v>
      </c>
      <c r="G55" s="0" t="n">
        <v>30</v>
      </c>
      <c r="H55" s="0" t="n">
        <v>30</v>
      </c>
      <c r="I55" s="0" t="n">
        <v>30</v>
      </c>
    </row>
    <row r="56" customFormat="false" ht="15" hidden="false" customHeight="false" outlineLevel="0" collapsed="false">
      <c r="B56" s="0" t="s">
        <v>46</v>
      </c>
      <c r="C56" s="0" t="n">
        <v>20</v>
      </c>
      <c r="D56" s="0" t="n">
        <v>20</v>
      </c>
      <c r="E56" s="0" t="n">
        <v>20</v>
      </c>
      <c r="F56" s="0" t="n">
        <v>20</v>
      </c>
      <c r="G56" s="0" t="n">
        <v>20</v>
      </c>
      <c r="H56" s="0" t="n">
        <v>20</v>
      </c>
      <c r="I56" s="0" t="n">
        <v>20</v>
      </c>
    </row>
    <row r="57" customFormat="false" ht="15" hidden="false" customHeight="false" outlineLevel="0" collapsed="false">
      <c r="B57" s="0" t="s">
        <v>47</v>
      </c>
      <c r="C57" s="0" t="n">
        <v>15</v>
      </c>
      <c r="D57" s="0" t="n">
        <v>15</v>
      </c>
      <c r="E57" s="0" t="n">
        <v>15</v>
      </c>
      <c r="F57" s="0" t="n">
        <v>15</v>
      </c>
      <c r="G57" s="0" t="n">
        <v>15</v>
      </c>
      <c r="H57" s="0" t="n">
        <v>15</v>
      </c>
      <c r="I57" s="0" t="n">
        <v>15</v>
      </c>
    </row>
    <row r="58" customFormat="false" ht="15" hidden="false" customHeight="false" outlineLevel="0" collapsed="false">
      <c r="A58" s="0" t="s">
        <v>48</v>
      </c>
    </row>
    <row r="59" customFormat="false" ht="15" hidden="false" customHeight="false" outlineLevel="0" collapsed="false">
      <c r="B59" s="0" t="s">
        <v>49</v>
      </c>
      <c r="C59" s="1" t="n">
        <f aca="false">PRODUCT(E59/SUM($E$59:$E$63))</f>
        <v>0.117647058823529</v>
      </c>
      <c r="D59" s="0" t="n">
        <v>10</v>
      </c>
      <c r="E59" s="0" t="n">
        <v>12</v>
      </c>
      <c r="F59" s="0" t="n">
        <v>10</v>
      </c>
      <c r="G59" s="0" t="n">
        <v>10</v>
      </c>
      <c r="H59" s="0" t="n">
        <v>10</v>
      </c>
      <c r="I59" s="0" t="n">
        <v>10</v>
      </c>
    </row>
    <row r="60" customFormat="false" ht="15" hidden="false" customHeight="false" outlineLevel="0" collapsed="false">
      <c r="B60" s="0" t="s">
        <v>50</v>
      </c>
      <c r="C60" s="1" t="n">
        <f aca="false">PRODUCT(E60/SUM($E$59:$E$63))</f>
        <v>0.294117647058824</v>
      </c>
      <c r="D60" s="0" t="n">
        <v>30</v>
      </c>
      <c r="E60" s="0" t="n">
        <v>30</v>
      </c>
      <c r="F60" s="0" t="n">
        <v>30</v>
      </c>
      <c r="G60" s="0" t="n">
        <v>30</v>
      </c>
      <c r="H60" s="0" t="n">
        <v>30</v>
      </c>
      <c r="I60" s="0" t="n">
        <v>30</v>
      </c>
    </row>
    <row r="61" customFormat="false" ht="15" hidden="false" customHeight="false" outlineLevel="0" collapsed="false">
      <c r="B61" s="0" t="s">
        <v>51</v>
      </c>
      <c r="C61" s="1" t="n">
        <f aca="false">PRODUCT(E61/SUM($E$59:$E$63))</f>
        <v>0.264705882352941</v>
      </c>
      <c r="D61" s="0" t="n">
        <v>25</v>
      </c>
      <c r="E61" s="0" t="n">
        <v>27</v>
      </c>
      <c r="F61" s="0" t="n">
        <v>25</v>
      </c>
      <c r="G61" s="0" t="n">
        <v>25</v>
      </c>
      <c r="H61" s="0" t="n">
        <v>25</v>
      </c>
      <c r="I61" s="0" t="n">
        <v>25</v>
      </c>
    </row>
    <row r="62" customFormat="false" ht="15" hidden="false" customHeight="false" outlineLevel="0" collapsed="false">
      <c r="B62" s="0" t="s">
        <v>52</v>
      </c>
      <c r="C62" s="1" t="n">
        <f aca="false">PRODUCT(E62/SUM($E$59:$E$63))</f>
        <v>0.176470588235294</v>
      </c>
      <c r="D62" s="0" t="n">
        <v>20</v>
      </c>
      <c r="E62" s="0" t="n">
        <v>18</v>
      </c>
      <c r="F62" s="0" t="n">
        <v>20</v>
      </c>
      <c r="G62" s="0" t="n">
        <v>20</v>
      </c>
      <c r="H62" s="0" t="n">
        <v>20</v>
      </c>
      <c r="I62" s="0" t="n">
        <v>20</v>
      </c>
    </row>
    <row r="63" customFormat="false" ht="15" hidden="false" customHeight="false" outlineLevel="0" collapsed="false">
      <c r="B63" s="0" t="s">
        <v>53</v>
      </c>
      <c r="C63" s="1" t="n">
        <f aca="false">PRODUCT(E63/SUM($E$59:$E$63))</f>
        <v>0.147058823529412</v>
      </c>
      <c r="D63" s="0" t="n">
        <v>15</v>
      </c>
      <c r="E63" s="0" t="n">
        <v>15</v>
      </c>
      <c r="F63" s="0" t="n">
        <v>15</v>
      </c>
      <c r="G63" s="0" t="n">
        <v>15</v>
      </c>
      <c r="H63" s="0" t="n">
        <v>15</v>
      </c>
      <c r="I63" s="0" t="n">
        <v>15</v>
      </c>
    </row>
    <row r="64" customFormat="false" ht="15" hidden="false" customHeight="false" outlineLevel="0" collapsed="false">
      <c r="A64" s="0" t="s">
        <v>54</v>
      </c>
    </row>
    <row r="65" customFormat="false" ht="15" hidden="false" customHeight="false" outlineLevel="0" collapsed="false">
      <c r="B65" s="0" t="s">
        <v>31</v>
      </c>
      <c r="C65" s="0" t="n">
        <v>60</v>
      </c>
      <c r="D65" s="0" t="n">
        <v>60</v>
      </c>
      <c r="E65" s="0" t="n">
        <v>60</v>
      </c>
      <c r="F65" s="0" t="n">
        <v>60</v>
      </c>
      <c r="G65" s="0" t="n">
        <v>60</v>
      </c>
      <c r="H65" s="0" t="n">
        <v>60</v>
      </c>
      <c r="I65" s="0" t="n">
        <v>60</v>
      </c>
    </row>
    <row r="66" customFormat="false" ht="15" hidden="false" customHeight="false" outlineLevel="0" collapsed="false">
      <c r="B66" s="0" t="s">
        <v>32</v>
      </c>
      <c r="C66" s="0" t="n">
        <v>40</v>
      </c>
      <c r="D66" s="0" t="n">
        <v>40</v>
      </c>
      <c r="E66" s="0" t="n">
        <v>40</v>
      </c>
      <c r="F66" s="0" t="n">
        <v>40</v>
      </c>
      <c r="G66" s="0" t="n">
        <v>40</v>
      </c>
      <c r="H66" s="0" t="n">
        <v>40</v>
      </c>
      <c r="I66" s="0" t="n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22.42"/>
    <col collapsed="false" customWidth="true" hidden="false" outlineLevel="0" max="2" min="2" style="0" width="33.85"/>
  </cols>
  <sheetData>
    <row r="1" customFormat="false" ht="15" hidden="false" customHeight="false" outlineLevel="0" collapsed="false">
      <c r="A1" s="0" t="s">
        <v>1</v>
      </c>
      <c r="C1" s="0" t="s">
        <v>2</v>
      </c>
      <c r="D1" s="0" t="s">
        <v>10</v>
      </c>
      <c r="E1" s="0" t="s">
        <v>11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B2" s="0" t="n">
        <v>12</v>
      </c>
      <c r="C2" s="0" t="n">
        <v>12</v>
      </c>
    </row>
    <row r="3" customFormat="false" ht="15" hidden="false" customHeight="false" outlineLevel="0" collapsed="false">
      <c r="B3" s="0" t="n">
        <v>13</v>
      </c>
      <c r="C3" s="0" t="n">
        <v>12</v>
      </c>
    </row>
    <row r="4" customFormat="false" ht="15" hidden="false" customHeight="false" outlineLevel="0" collapsed="false">
      <c r="B4" s="0" t="n">
        <v>14</v>
      </c>
      <c r="C4" s="0" t="n">
        <v>12</v>
      </c>
      <c r="L4" s="4"/>
    </row>
    <row r="5" customFormat="false" ht="15" hidden="false" customHeight="false" outlineLevel="0" collapsed="false">
      <c r="B5" s="0" t="n">
        <v>15</v>
      </c>
      <c r="C5" s="0" t="n">
        <v>12</v>
      </c>
    </row>
    <row r="6" customFormat="false" ht="15" hidden="false" customHeight="false" outlineLevel="0" collapsed="false">
      <c r="B6" s="0" t="n">
        <v>16</v>
      </c>
      <c r="C6" s="0" t="n">
        <v>12</v>
      </c>
    </row>
    <row r="7" customFormat="false" ht="15" hidden="false" customHeight="false" outlineLevel="0" collapsed="false">
      <c r="B7" s="0" t="n">
        <v>17</v>
      </c>
      <c r="C7" s="0" t="n">
        <v>12</v>
      </c>
    </row>
    <row r="8" customFormat="false" ht="15" hidden="false" customHeight="false" outlineLevel="0" collapsed="false">
      <c r="B8" s="0" t="n">
        <v>18</v>
      </c>
      <c r="C8" s="0" t="n">
        <v>10</v>
      </c>
    </row>
    <row r="9" customFormat="false" ht="15" hidden="false" customHeight="false" outlineLevel="0" collapsed="false">
      <c r="B9" s="0" t="n">
        <v>19</v>
      </c>
      <c r="C9" s="0" t="n">
        <v>8</v>
      </c>
    </row>
    <row r="10" customFormat="false" ht="15" hidden="false" customHeight="false" outlineLevel="0" collapsed="false">
      <c r="B10" s="0" t="n">
        <v>20</v>
      </c>
      <c r="C10" s="0" t="n">
        <v>10</v>
      </c>
    </row>
    <row r="11" customFormat="false" ht="15" hidden="false" customHeight="false" outlineLevel="0" collapsed="false">
      <c r="A11" s="0" t="s">
        <v>9</v>
      </c>
    </row>
    <row r="12" customFormat="false" ht="15" hidden="false" customHeight="false" outlineLevel="0" collapsed="false">
      <c r="B12" s="0" t="s">
        <v>10</v>
      </c>
      <c r="C12" s="0" t="n">
        <v>52</v>
      </c>
    </row>
    <row r="13" customFormat="false" ht="15" hidden="false" customHeight="false" outlineLevel="0" collapsed="false">
      <c r="B13" s="0" t="s">
        <v>11</v>
      </c>
      <c r="C13" s="0" t="n">
        <v>45</v>
      </c>
    </row>
    <row r="14" customFormat="false" ht="15" hidden="false" customHeight="false" outlineLevel="0" collapsed="false">
      <c r="B14" s="0" t="s">
        <v>5</v>
      </c>
      <c r="C14" s="0" t="n">
        <v>3</v>
      </c>
    </row>
    <row r="15" customFormat="false" ht="15" hidden="false" customHeight="false" outlineLevel="0" collapsed="false">
      <c r="A15" s="0" t="s">
        <v>55</v>
      </c>
    </row>
    <row r="16" customFormat="false" ht="15" hidden="false" customHeight="false" outlineLevel="0" collapsed="false">
      <c r="B16" s="0" t="s">
        <v>56</v>
      </c>
      <c r="C16" s="1" t="n">
        <f aca="false">J16/SUM($J$16:$J$23)</f>
        <v>0.0508474576271187</v>
      </c>
      <c r="D16" s="0" t="n">
        <v>3</v>
      </c>
      <c r="E16" s="0" t="n">
        <v>8</v>
      </c>
      <c r="F16" s="0" t="n">
        <v>5</v>
      </c>
      <c r="G16" s="0" t="n">
        <v>5</v>
      </c>
      <c r="H16" s="0" t="n">
        <v>5</v>
      </c>
      <c r="I16" s="0" t="n">
        <v>5</v>
      </c>
      <c r="J16" s="0" t="n">
        <v>6</v>
      </c>
    </row>
    <row r="17" customFormat="false" ht="15" hidden="false" customHeight="false" outlineLevel="0" collapsed="false">
      <c r="B17" s="0" t="s">
        <v>57</v>
      </c>
      <c r="C17" s="1" t="n">
        <f aca="false">J17/SUM($J$16:$J$23)</f>
        <v>0.076271186440678</v>
      </c>
      <c r="D17" s="0" t="n">
        <v>8</v>
      </c>
      <c r="E17" s="0" t="n">
        <v>12</v>
      </c>
      <c r="F17" s="0" t="n">
        <v>10</v>
      </c>
      <c r="G17" s="0" t="n">
        <v>10</v>
      </c>
      <c r="H17" s="0" t="n">
        <v>8</v>
      </c>
      <c r="I17" s="0" t="n">
        <v>8</v>
      </c>
      <c r="J17" s="0" t="n">
        <v>9</v>
      </c>
    </row>
    <row r="18" customFormat="false" ht="15" hidden="false" customHeight="false" outlineLevel="0" collapsed="false">
      <c r="B18" s="0" t="s">
        <v>58</v>
      </c>
      <c r="C18" s="1" t="n">
        <f aca="false">J18/SUM($J$16:$J$23)</f>
        <v>0.135593220338983</v>
      </c>
      <c r="D18" s="0" t="n">
        <v>12</v>
      </c>
      <c r="E18" s="0" t="n">
        <v>18</v>
      </c>
      <c r="F18" s="0" t="n">
        <v>15</v>
      </c>
      <c r="G18" s="0" t="n">
        <v>15</v>
      </c>
      <c r="H18" s="0" t="n">
        <v>12</v>
      </c>
      <c r="I18" s="0" t="n">
        <v>12</v>
      </c>
      <c r="J18" s="0" t="n">
        <v>16</v>
      </c>
    </row>
    <row r="19" customFormat="false" ht="15" hidden="false" customHeight="false" outlineLevel="0" collapsed="false">
      <c r="B19" s="0" t="s">
        <v>59</v>
      </c>
      <c r="C19" s="1" t="n">
        <f aca="false">J19/SUM($J$16:$J$23)</f>
        <v>0.23728813559322</v>
      </c>
      <c r="D19" s="0" t="n">
        <v>18</v>
      </c>
      <c r="E19" s="0" t="n">
        <v>22</v>
      </c>
      <c r="F19" s="0" t="n">
        <v>20</v>
      </c>
      <c r="G19" s="0" t="n">
        <v>20</v>
      </c>
      <c r="H19" s="0" t="n">
        <v>18</v>
      </c>
      <c r="I19" s="0" t="n">
        <v>18</v>
      </c>
      <c r="J19" s="0" t="n">
        <v>28</v>
      </c>
    </row>
    <row r="20" customFormat="false" ht="15" hidden="false" customHeight="false" outlineLevel="0" collapsed="false">
      <c r="B20" s="0" t="s">
        <v>60</v>
      </c>
      <c r="C20" s="1" t="n">
        <f aca="false">J20/SUM($J$16:$J$23)</f>
        <v>0.186440677966102</v>
      </c>
      <c r="D20" s="0" t="n">
        <v>15</v>
      </c>
      <c r="E20" s="0" t="n">
        <v>18</v>
      </c>
      <c r="F20" s="0" t="n">
        <v>15</v>
      </c>
      <c r="G20" s="0" t="n">
        <v>15</v>
      </c>
      <c r="H20" s="0" t="n">
        <v>15</v>
      </c>
      <c r="I20" s="0" t="n">
        <v>15</v>
      </c>
      <c r="J20" s="0" t="n">
        <v>22</v>
      </c>
    </row>
    <row r="21" customFormat="false" ht="15" hidden="false" customHeight="false" outlineLevel="0" collapsed="false">
      <c r="B21" s="0" t="s">
        <v>61</v>
      </c>
      <c r="C21" s="1" t="n">
        <f aca="false">J21/SUM($J$16:$J$23)</f>
        <v>0.152542372881356</v>
      </c>
      <c r="D21" s="0" t="n">
        <v>18</v>
      </c>
      <c r="E21" s="0" t="n">
        <v>18</v>
      </c>
      <c r="F21" s="0" t="n">
        <v>15</v>
      </c>
      <c r="G21" s="0" t="n">
        <v>15</v>
      </c>
      <c r="H21" s="0" t="n">
        <v>18</v>
      </c>
      <c r="I21" s="0" t="n">
        <v>15</v>
      </c>
      <c r="J21" s="0" t="n">
        <v>18</v>
      </c>
    </row>
    <row r="22" customFormat="false" ht="15" hidden="false" customHeight="false" outlineLevel="0" collapsed="false">
      <c r="B22" s="0" t="s">
        <v>62</v>
      </c>
      <c r="C22" s="1" t="n">
        <f aca="false">J22/SUM($J$16:$J$23)</f>
        <v>0.101694915254237</v>
      </c>
      <c r="D22" s="0" t="n">
        <v>13</v>
      </c>
      <c r="E22" s="0" t="n">
        <v>5</v>
      </c>
      <c r="F22" s="0" t="n">
        <v>10</v>
      </c>
      <c r="G22" s="0" t="n">
        <v>10</v>
      </c>
      <c r="H22" s="0" t="n">
        <v>12</v>
      </c>
      <c r="I22" s="0" t="n">
        <v>10</v>
      </c>
      <c r="J22" s="0" t="n">
        <v>12</v>
      </c>
    </row>
    <row r="23" customFormat="false" ht="15" hidden="false" customHeight="false" outlineLevel="0" collapsed="false">
      <c r="B23" s="0" t="s">
        <v>63</v>
      </c>
      <c r="C23" s="1" t="n">
        <f aca="false">J23/SUM($J$16:$J$23)</f>
        <v>0.0593220338983051</v>
      </c>
      <c r="D23" s="0" t="n">
        <v>13</v>
      </c>
      <c r="E23" s="0" t="n">
        <v>5</v>
      </c>
      <c r="F23" s="0" t="n">
        <v>10</v>
      </c>
      <c r="G23" s="0" t="n">
        <v>10</v>
      </c>
      <c r="H23" s="0" t="n">
        <v>12</v>
      </c>
      <c r="I23" s="0" t="n">
        <v>15</v>
      </c>
      <c r="J23" s="0" t="n">
        <v>7</v>
      </c>
    </row>
    <row r="24" customFormat="false" ht="15" hidden="false" customHeight="false" outlineLevel="0" collapsed="false">
      <c r="A24" s="0" t="s">
        <v>64</v>
      </c>
    </row>
    <row r="25" customFormat="false" ht="15" hidden="false" customHeight="false" outlineLevel="0" collapsed="false">
      <c r="B25" s="0" t="s">
        <v>64</v>
      </c>
      <c r="C25" s="1" t="n">
        <f aca="false">PRODUCT(D25/SUM($D$25:$D$29))</f>
        <v>0.08</v>
      </c>
      <c r="D25" s="0" t="n">
        <v>8</v>
      </c>
      <c r="E25" s="0" t="n">
        <v>12</v>
      </c>
      <c r="F25" s="0" t="n">
        <v>10</v>
      </c>
      <c r="G25" s="0" t="n">
        <v>12</v>
      </c>
      <c r="H25" s="0" t="n">
        <v>10</v>
      </c>
      <c r="I25" s="0" t="n">
        <v>8</v>
      </c>
    </row>
    <row r="26" customFormat="false" ht="15" hidden="false" customHeight="false" outlineLevel="0" collapsed="false">
      <c r="B26" s="0" t="s">
        <v>65</v>
      </c>
      <c r="C26" s="1" t="n">
        <f aca="false">PRODUCT(D26/SUM($D$25:$D$29))</f>
        <v>0.18</v>
      </c>
      <c r="D26" s="0" t="n">
        <v>18</v>
      </c>
      <c r="E26" s="0" t="n">
        <v>22</v>
      </c>
      <c r="F26" s="0" t="n">
        <v>20</v>
      </c>
      <c r="G26" s="0" t="n">
        <v>20</v>
      </c>
      <c r="H26" s="0" t="n">
        <v>18</v>
      </c>
      <c r="I26" s="0" t="n">
        <v>15</v>
      </c>
    </row>
    <row r="27" customFormat="false" ht="15" hidden="false" customHeight="false" outlineLevel="0" collapsed="false">
      <c r="B27" s="0" t="s">
        <v>66</v>
      </c>
      <c r="C27" s="1" t="n">
        <f aca="false">PRODUCT(D27/SUM($D$25:$D$29))</f>
        <v>0.24</v>
      </c>
      <c r="D27" s="0" t="n">
        <v>24</v>
      </c>
      <c r="E27" s="0" t="n">
        <v>28</v>
      </c>
      <c r="F27" s="0" t="n">
        <v>26</v>
      </c>
      <c r="G27" s="0" t="n">
        <v>25</v>
      </c>
      <c r="H27" s="0" t="n">
        <v>25</v>
      </c>
      <c r="I27" s="0" t="n">
        <v>25</v>
      </c>
    </row>
    <row r="28" customFormat="false" ht="15" hidden="false" customHeight="false" outlineLevel="0" collapsed="false">
      <c r="B28" s="0" t="s">
        <v>67</v>
      </c>
      <c r="C28" s="1" t="n">
        <f aca="false">PRODUCT(D28/SUM($D$25:$D$29))</f>
        <v>0.31</v>
      </c>
      <c r="D28" s="0" t="n">
        <v>31</v>
      </c>
      <c r="E28" s="0" t="n">
        <v>28</v>
      </c>
      <c r="F28" s="0" t="n">
        <v>29</v>
      </c>
      <c r="G28" s="0" t="n">
        <v>25</v>
      </c>
      <c r="H28" s="0" t="n">
        <v>28</v>
      </c>
      <c r="I28" s="0" t="n">
        <v>30</v>
      </c>
    </row>
    <row r="29" customFormat="false" ht="15" hidden="false" customHeight="false" outlineLevel="0" collapsed="false">
      <c r="B29" s="0" t="s">
        <v>68</v>
      </c>
      <c r="C29" s="1" t="n">
        <f aca="false">PRODUCT(D29/SUM($D$25:$D$29))</f>
        <v>0.19</v>
      </c>
      <c r="D29" s="0" t="n">
        <v>19</v>
      </c>
      <c r="E29" s="0" t="n">
        <v>10</v>
      </c>
      <c r="F29" s="0" t="n">
        <v>15</v>
      </c>
      <c r="G29" s="0" t="n">
        <v>18</v>
      </c>
      <c r="H29" s="0" t="n">
        <v>19</v>
      </c>
      <c r="I29" s="0" t="n">
        <v>22</v>
      </c>
    </row>
    <row r="30" customFormat="false" ht="15" hidden="false" customHeight="false" outlineLevel="0" collapsed="false">
      <c r="A30" s="0" t="s">
        <v>69</v>
      </c>
    </row>
    <row r="31" customFormat="false" ht="15" hidden="false" customHeight="false" outlineLevel="0" collapsed="false">
      <c r="B31" s="0" t="s">
        <v>31</v>
      </c>
      <c r="C31" s="0" t="n">
        <v>20</v>
      </c>
      <c r="D31" s="0" t="n">
        <v>25</v>
      </c>
      <c r="E31" s="0" t="n">
        <v>15</v>
      </c>
      <c r="F31" s="0" t="n">
        <v>20</v>
      </c>
      <c r="G31" s="0" t="n">
        <v>20</v>
      </c>
      <c r="H31" s="0" t="n">
        <v>25</v>
      </c>
      <c r="I31" s="0" t="n">
        <v>25</v>
      </c>
    </row>
    <row r="32" customFormat="false" ht="15" hidden="false" customHeight="false" outlineLevel="0" collapsed="false">
      <c r="B32" s="0" t="s">
        <v>70</v>
      </c>
      <c r="C32" s="0" t="n">
        <v>25</v>
      </c>
      <c r="D32" s="0" t="n">
        <v>30</v>
      </c>
      <c r="E32" s="0" t="n">
        <v>20</v>
      </c>
      <c r="F32" s="0" t="n">
        <v>25</v>
      </c>
      <c r="G32" s="0" t="n">
        <v>25</v>
      </c>
      <c r="H32" s="0" t="n">
        <v>25</v>
      </c>
      <c r="I32" s="0" t="n">
        <v>25</v>
      </c>
    </row>
    <row r="33" customFormat="false" ht="15" hidden="false" customHeight="false" outlineLevel="0" collapsed="false">
      <c r="B33" s="0" t="s">
        <v>71</v>
      </c>
      <c r="C33" s="0" t="n">
        <v>30</v>
      </c>
      <c r="D33" s="0" t="n">
        <v>25</v>
      </c>
      <c r="E33" s="0" t="n">
        <v>35</v>
      </c>
      <c r="F33" s="0" t="n">
        <v>30</v>
      </c>
      <c r="G33" s="0" t="n">
        <v>30</v>
      </c>
      <c r="H33" s="0" t="n">
        <v>20</v>
      </c>
      <c r="I33" s="0" t="n">
        <v>30</v>
      </c>
    </row>
    <row r="34" customFormat="false" ht="15" hidden="false" customHeight="false" outlineLevel="0" collapsed="false">
      <c r="B34" s="0" t="s">
        <v>32</v>
      </c>
      <c r="C34" s="0" t="n">
        <v>25</v>
      </c>
      <c r="D34" s="0" t="n">
        <v>20</v>
      </c>
      <c r="E34" s="0" t="n">
        <v>30</v>
      </c>
      <c r="F34" s="0" t="n">
        <v>25</v>
      </c>
      <c r="G34" s="0" t="n">
        <v>25</v>
      </c>
      <c r="H34" s="0" t="n">
        <v>20</v>
      </c>
      <c r="I34" s="0" t="n">
        <v>20</v>
      </c>
    </row>
    <row r="35" customFormat="false" ht="15" hidden="false" customHeight="false" outlineLevel="0" collapsed="false">
      <c r="A35" s="0" t="s">
        <v>27</v>
      </c>
    </row>
    <row r="36" customFormat="false" ht="15" hidden="false" customHeight="false" outlineLevel="0" collapsed="false">
      <c r="B36" s="0" t="s">
        <v>31</v>
      </c>
      <c r="C36" s="0" t="n">
        <v>40</v>
      </c>
      <c r="D36" s="0" t="n">
        <v>45</v>
      </c>
      <c r="E36" s="0" t="n">
        <v>30</v>
      </c>
      <c r="F36" s="0" t="n">
        <v>35</v>
      </c>
      <c r="G36" s="0" t="n">
        <v>25</v>
      </c>
      <c r="H36" s="0" t="n">
        <v>25</v>
      </c>
      <c r="I36" s="0" t="n">
        <v>45</v>
      </c>
    </row>
    <row r="37" customFormat="false" ht="15" hidden="false" customHeight="false" outlineLevel="0" collapsed="false">
      <c r="B37" s="0" t="s">
        <v>32</v>
      </c>
      <c r="C37" s="0" t="n">
        <v>60</v>
      </c>
      <c r="D37" s="0" t="n">
        <v>55</v>
      </c>
      <c r="E37" s="0" t="n">
        <v>70</v>
      </c>
      <c r="F37" s="0" t="n">
        <v>65</v>
      </c>
      <c r="G37" s="0" t="n">
        <v>75</v>
      </c>
      <c r="H37" s="0" t="n">
        <v>65</v>
      </c>
      <c r="I37" s="0" t="n">
        <v>55</v>
      </c>
    </row>
    <row r="38" customFormat="false" ht="15" hidden="false" customHeight="false" outlineLevel="0" collapsed="false">
      <c r="A38" s="0" t="s">
        <v>72</v>
      </c>
    </row>
    <row r="39" customFormat="false" ht="15" hidden="false" customHeight="false" outlineLevel="0" collapsed="false">
      <c r="B39" s="0" t="s">
        <v>38</v>
      </c>
      <c r="C39" s="1" t="n">
        <v>0.5</v>
      </c>
      <c r="D39" s="0" t="n">
        <v>45</v>
      </c>
      <c r="E39" s="0" t="n">
        <v>55</v>
      </c>
      <c r="F39" s="0" t="n">
        <v>50</v>
      </c>
      <c r="G39" s="0" t="n">
        <v>45</v>
      </c>
      <c r="H39" s="0" t="n">
        <v>50</v>
      </c>
      <c r="I39" s="0" t="n">
        <v>55</v>
      </c>
    </row>
    <row r="40" customFormat="false" ht="15" hidden="false" customHeight="false" outlineLevel="0" collapsed="false">
      <c r="B40" s="0" t="s">
        <v>73</v>
      </c>
      <c r="C40" s="1" t="n">
        <v>0.2</v>
      </c>
      <c r="D40" s="0" t="n">
        <v>15</v>
      </c>
      <c r="E40" s="0" t="n">
        <v>25</v>
      </c>
      <c r="F40" s="0" t="n">
        <v>20</v>
      </c>
      <c r="G40" s="0" t="n">
        <v>20</v>
      </c>
      <c r="H40" s="0" t="n">
        <v>20</v>
      </c>
      <c r="I40" s="0" t="n">
        <v>20</v>
      </c>
    </row>
    <row r="41" customFormat="false" ht="15" hidden="false" customHeight="false" outlineLevel="0" collapsed="false">
      <c r="B41" s="0" t="s">
        <v>74</v>
      </c>
      <c r="C41" s="1" t="n">
        <v>0.25</v>
      </c>
      <c r="D41" s="0" t="n">
        <v>30</v>
      </c>
      <c r="E41" s="0" t="n">
        <v>15</v>
      </c>
      <c r="F41" s="0" t="n">
        <v>20</v>
      </c>
      <c r="G41" s="0" t="n">
        <v>25</v>
      </c>
      <c r="H41" s="0" t="n">
        <v>20</v>
      </c>
      <c r="I41" s="0" t="n">
        <v>15</v>
      </c>
    </row>
    <row r="42" customFormat="false" ht="15" hidden="false" customHeight="false" outlineLevel="0" collapsed="false">
      <c r="B42" s="0" t="s">
        <v>75</v>
      </c>
      <c r="C42" s="1" t="n">
        <v>0.05</v>
      </c>
      <c r="D42" s="0" t="n">
        <v>10</v>
      </c>
      <c r="E42" s="0" t="n">
        <v>5</v>
      </c>
      <c r="F42" s="0" t="n">
        <v>10</v>
      </c>
      <c r="G42" s="0" t="n">
        <v>10</v>
      </c>
      <c r="H42" s="0" t="n">
        <v>10</v>
      </c>
      <c r="I42" s="0" t="n">
        <v>10</v>
      </c>
    </row>
    <row r="43" customFormat="false" ht="15" hidden="false" customHeight="false" outlineLevel="0" collapsed="false">
      <c r="A43" s="0" t="s">
        <v>76</v>
      </c>
    </row>
    <row r="44" customFormat="false" ht="15" hidden="false" customHeight="false" outlineLevel="0" collapsed="false">
      <c r="B44" s="0" t="s">
        <v>77</v>
      </c>
      <c r="C44" s="0" t="n">
        <v>5</v>
      </c>
      <c r="D44" s="0" t="n">
        <v>6</v>
      </c>
      <c r="E44" s="0" t="n">
        <v>2</v>
      </c>
      <c r="F44" s="0" t="n">
        <v>3</v>
      </c>
      <c r="G44" s="0" t="n">
        <v>6</v>
      </c>
      <c r="H44" s="0" t="n">
        <v>5</v>
      </c>
      <c r="I44" s="0" t="n">
        <v>3</v>
      </c>
    </row>
    <row r="45" customFormat="false" ht="15" hidden="false" customHeight="false" outlineLevel="0" collapsed="false">
      <c r="B45" s="0" t="s">
        <v>40</v>
      </c>
      <c r="C45" s="0" t="n">
        <v>30</v>
      </c>
      <c r="D45" s="0" t="n">
        <v>32</v>
      </c>
      <c r="E45" s="0" t="n">
        <v>28</v>
      </c>
      <c r="F45" s="0" t="n">
        <v>30</v>
      </c>
      <c r="G45" s="0" t="n">
        <v>30</v>
      </c>
      <c r="H45" s="0" t="n">
        <v>25</v>
      </c>
      <c r="I45" s="0" t="n">
        <v>20</v>
      </c>
    </row>
    <row r="46" customFormat="false" ht="15" hidden="false" customHeight="false" outlineLevel="0" collapsed="false">
      <c r="B46" s="0" t="s">
        <v>32</v>
      </c>
      <c r="C46" s="0" t="n">
        <v>65</v>
      </c>
      <c r="D46" s="0" t="n">
        <v>62</v>
      </c>
      <c r="E46" s="0" t="n">
        <v>70</v>
      </c>
      <c r="F46" s="0" t="n">
        <v>67</v>
      </c>
      <c r="G46" s="0" t="n">
        <v>54</v>
      </c>
      <c r="H46" s="0" t="n">
        <v>70</v>
      </c>
      <c r="I46" s="0" t="n">
        <v>77</v>
      </c>
    </row>
    <row r="47" customFormat="false" ht="15" hidden="false" customHeight="false" outlineLevel="0" collapsed="false">
      <c r="A47" s="0" t="s">
        <v>78</v>
      </c>
    </row>
    <row r="48" customFormat="false" ht="15" hidden="false" customHeight="false" outlineLevel="0" collapsed="false">
      <c r="B48" s="0" t="s">
        <v>31</v>
      </c>
      <c r="C48" s="0" t="n">
        <v>15</v>
      </c>
      <c r="D48" s="0" t="n">
        <v>18</v>
      </c>
      <c r="E48" s="0" t="n">
        <v>12</v>
      </c>
      <c r="F48" s="0" t="n">
        <v>15</v>
      </c>
      <c r="G48" s="0" t="n">
        <v>18</v>
      </c>
      <c r="H48" s="0" t="n">
        <v>15</v>
      </c>
      <c r="I48" s="0" t="n">
        <v>10</v>
      </c>
    </row>
    <row r="49" customFormat="false" ht="15" hidden="false" customHeight="false" outlineLevel="0" collapsed="false">
      <c r="B49" s="0" t="s">
        <v>40</v>
      </c>
      <c r="C49" s="0" t="n">
        <v>25</v>
      </c>
      <c r="D49" s="0" t="n">
        <v>28</v>
      </c>
      <c r="E49" s="0" t="n">
        <v>22</v>
      </c>
      <c r="F49" s="0" t="n">
        <v>25</v>
      </c>
      <c r="G49" s="0" t="n">
        <v>30</v>
      </c>
      <c r="H49" s="0" t="n">
        <v>25</v>
      </c>
      <c r="I49" s="0" t="n">
        <v>20</v>
      </c>
    </row>
    <row r="50" customFormat="false" ht="15" hidden="false" customHeight="false" outlineLevel="0" collapsed="false">
      <c r="B50" s="0" t="s">
        <v>32</v>
      </c>
      <c r="C50" s="0" t="n">
        <v>60</v>
      </c>
      <c r="D50" s="0" t="n">
        <v>54</v>
      </c>
      <c r="E50" s="0" t="n">
        <v>66</v>
      </c>
      <c r="F50" s="0" t="n">
        <v>60</v>
      </c>
      <c r="G50" s="0" t="n">
        <v>52</v>
      </c>
      <c r="H50" s="0" t="n">
        <v>60</v>
      </c>
      <c r="I50" s="0" t="n">
        <v>70</v>
      </c>
    </row>
    <row r="51" customFormat="false" ht="15" hidden="false" customHeight="false" outlineLevel="0" collapsed="false">
      <c r="A51" s="0" t="s">
        <v>79</v>
      </c>
    </row>
    <row r="52" customFormat="false" ht="15" hidden="false" customHeight="false" outlineLevel="0" collapsed="false">
      <c r="B52" s="0" t="s">
        <v>32</v>
      </c>
      <c r="C52" s="0" t="n">
        <v>50</v>
      </c>
      <c r="D52" s="0" t="n">
        <v>45</v>
      </c>
      <c r="E52" s="0" t="n">
        <v>55</v>
      </c>
      <c r="F52" s="0" t="n">
        <v>50</v>
      </c>
      <c r="G52" s="0" t="n">
        <v>50</v>
      </c>
      <c r="H52" s="0" t="n">
        <v>50</v>
      </c>
      <c r="I52" s="0" t="n">
        <v>50</v>
      </c>
    </row>
    <row r="53" customFormat="false" ht="15" hidden="false" customHeight="false" outlineLevel="0" collapsed="false">
      <c r="B53" s="0" t="s">
        <v>80</v>
      </c>
      <c r="C53" s="0" t="n">
        <v>20</v>
      </c>
      <c r="D53" s="0" t="n">
        <v>25</v>
      </c>
      <c r="E53" s="0" t="n">
        <v>15</v>
      </c>
      <c r="F53" s="0" t="n">
        <v>20</v>
      </c>
      <c r="G53" s="0" t="n">
        <v>25</v>
      </c>
      <c r="H53" s="0" t="n">
        <v>25</v>
      </c>
      <c r="I53" s="0" t="n">
        <v>20</v>
      </c>
    </row>
    <row r="54" customFormat="false" ht="15" hidden="false" customHeight="false" outlineLevel="0" collapsed="false">
      <c r="B54" s="0" t="s">
        <v>81</v>
      </c>
      <c r="C54" s="0" t="n">
        <v>10</v>
      </c>
      <c r="D54" s="0" t="n">
        <v>10</v>
      </c>
      <c r="E54" s="0" t="n">
        <v>10</v>
      </c>
      <c r="F54" s="0" t="n">
        <v>10</v>
      </c>
      <c r="G54" s="0" t="n">
        <v>10</v>
      </c>
      <c r="H54" s="0" t="n">
        <v>10</v>
      </c>
      <c r="I54" s="0" t="n">
        <v>10</v>
      </c>
    </row>
    <row r="55" customFormat="false" ht="15" hidden="false" customHeight="false" outlineLevel="0" collapsed="false">
      <c r="B55" s="0" t="s">
        <v>66</v>
      </c>
      <c r="C55" s="0" t="n">
        <v>20</v>
      </c>
      <c r="D55" s="0" t="n">
        <v>20</v>
      </c>
      <c r="E55" s="0" t="n">
        <v>20</v>
      </c>
      <c r="F55" s="0" t="n">
        <v>20</v>
      </c>
      <c r="G55" s="0" t="n">
        <v>15</v>
      </c>
      <c r="H55" s="0" t="n">
        <v>15</v>
      </c>
      <c r="I55" s="0" t="n">
        <v>20</v>
      </c>
    </row>
    <row r="56" customFormat="false" ht="15" hidden="false" customHeight="false" outlineLevel="0" collapsed="false">
      <c r="A56" s="0" t="s">
        <v>82</v>
      </c>
    </row>
    <row r="57" customFormat="false" ht="15" hidden="false" customHeight="false" outlineLevel="0" collapsed="false">
      <c r="B57" s="0" t="s">
        <v>31</v>
      </c>
      <c r="C57" s="0" t="n">
        <v>5</v>
      </c>
      <c r="D57" s="0" t="n">
        <v>8</v>
      </c>
      <c r="E57" s="0" t="n">
        <v>3</v>
      </c>
      <c r="F57" s="0" t="n">
        <v>5</v>
      </c>
      <c r="G57" s="0" t="n">
        <v>5</v>
      </c>
      <c r="H57" s="0" t="n">
        <v>5</v>
      </c>
      <c r="I57" s="0" t="n">
        <v>5</v>
      </c>
    </row>
    <row r="58" customFormat="false" ht="15" hidden="false" customHeight="false" outlineLevel="0" collapsed="false">
      <c r="B58" s="0" t="s">
        <v>83</v>
      </c>
      <c r="C58" s="0" t="n">
        <v>10</v>
      </c>
      <c r="D58" s="0" t="n">
        <v>12</v>
      </c>
      <c r="E58" s="0" t="n">
        <v>5</v>
      </c>
      <c r="F58" s="0" t="n">
        <v>8</v>
      </c>
      <c r="G58" s="0" t="n">
        <v>10</v>
      </c>
      <c r="H58" s="0" t="n">
        <v>8</v>
      </c>
      <c r="I58" s="0" t="n">
        <v>7</v>
      </c>
    </row>
    <row r="59" customFormat="false" ht="15" hidden="false" customHeight="false" outlineLevel="0" collapsed="false">
      <c r="B59" s="0" t="s">
        <v>40</v>
      </c>
      <c r="C59" s="0" t="n">
        <v>25</v>
      </c>
      <c r="D59" s="0" t="n">
        <v>25</v>
      </c>
      <c r="E59" s="0" t="n">
        <v>20</v>
      </c>
      <c r="F59" s="0" t="n">
        <v>22</v>
      </c>
      <c r="G59" s="0" t="n">
        <v>25</v>
      </c>
      <c r="H59" s="0" t="n">
        <v>22</v>
      </c>
      <c r="I59" s="0" t="n">
        <v>20</v>
      </c>
    </row>
    <row r="60" customFormat="false" ht="15" hidden="false" customHeight="false" outlineLevel="0" collapsed="false">
      <c r="B60" s="0" t="s">
        <v>32</v>
      </c>
      <c r="C60" s="0" t="n">
        <v>60</v>
      </c>
      <c r="D60" s="0" t="n">
        <v>55</v>
      </c>
      <c r="E60" s="0" t="n">
        <v>72</v>
      </c>
      <c r="F60" s="0" t="n">
        <v>65</v>
      </c>
      <c r="G60" s="0" t="n">
        <v>60</v>
      </c>
      <c r="H60" s="0" t="n">
        <v>65</v>
      </c>
      <c r="I60" s="0" t="n">
        <v>68</v>
      </c>
    </row>
    <row r="61" customFormat="false" ht="15" hidden="false" customHeight="false" outlineLevel="0" collapsed="false">
      <c r="A61" s="0" t="s">
        <v>84</v>
      </c>
    </row>
    <row r="62" customFormat="false" ht="15" hidden="false" customHeight="false" outlineLevel="0" collapsed="false">
      <c r="B62" s="0" t="s">
        <v>85</v>
      </c>
      <c r="C62" s="0" t="n">
        <v>50</v>
      </c>
      <c r="D62" s="0" t="n">
        <v>45</v>
      </c>
      <c r="E62" s="0" t="n">
        <v>55</v>
      </c>
      <c r="F62" s="0" t="n">
        <v>50</v>
      </c>
      <c r="G62" s="0" t="n">
        <v>45</v>
      </c>
      <c r="H62" s="0" t="n">
        <v>50</v>
      </c>
      <c r="I62" s="0" t="n">
        <v>55</v>
      </c>
    </row>
    <row r="63" customFormat="false" ht="15" hidden="false" customHeight="false" outlineLevel="0" collapsed="false">
      <c r="B63" s="0" t="s">
        <v>86</v>
      </c>
      <c r="C63" s="0" t="n">
        <v>30</v>
      </c>
      <c r="D63" s="0" t="n">
        <v>35</v>
      </c>
      <c r="E63" s="0" t="n">
        <v>25</v>
      </c>
      <c r="F63" s="0" t="n">
        <v>30</v>
      </c>
      <c r="G63" s="0" t="n">
        <v>35</v>
      </c>
      <c r="H63" s="0" t="n">
        <v>30</v>
      </c>
      <c r="I63" s="0" t="n">
        <v>30</v>
      </c>
    </row>
    <row r="64" customFormat="false" ht="15" hidden="false" customHeight="false" outlineLevel="0" collapsed="false">
      <c r="B64" s="0" t="s">
        <v>87</v>
      </c>
      <c r="C64" s="0" t="n">
        <v>20</v>
      </c>
      <c r="D64" s="0" t="n">
        <v>20</v>
      </c>
      <c r="E64" s="0" t="n">
        <v>20</v>
      </c>
      <c r="F64" s="0" t="n">
        <v>20</v>
      </c>
      <c r="G64" s="0" t="n">
        <v>20</v>
      </c>
      <c r="H64" s="0" t="n">
        <v>20</v>
      </c>
      <c r="I64" s="0" t="n">
        <v>15</v>
      </c>
    </row>
    <row r="65" customFormat="false" ht="15" hidden="false" customHeight="false" outlineLevel="0" collapsed="false">
      <c r="A65" s="0" t="s">
        <v>88</v>
      </c>
    </row>
    <row r="66" customFormat="false" ht="15" hidden="false" customHeight="false" outlineLevel="0" collapsed="false">
      <c r="B66" s="0" t="s">
        <v>89</v>
      </c>
      <c r="C66" s="0" t="n">
        <v>60</v>
      </c>
      <c r="D66" s="0" t="n">
        <v>55</v>
      </c>
      <c r="E66" s="0" t="n">
        <v>65</v>
      </c>
      <c r="F66" s="0" t="n">
        <v>60</v>
      </c>
      <c r="G66" s="0" t="n">
        <v>55</v>
      </c>
      <c r="H66" s="0" t="n">
        <v>60</v>
      </c>
      <c r="I66" s="0" t="n">
        <v>65</v>
      </c>
    </row>
    <row r="67" customFormat="false" ht="15" hidden="false" customHeight="false" outlineLevel="0" collapsed="false">
      <c r="B67" s="0" t="s">
        <v>90</v>
      </c>
      <c r="C67" s="0" t="n">
        <v>25</v>
      </c>
      <c r="D67" s="0" t="n">
        <v>30</v>
      </c>
      <c r="E67" s="0" t="n">
        <v>20</v>
      </c>
      <c r="F67" s="0" t="n">
        <v>25</v>
      </c>
      <c r="G67" s="0" t="n">
        <v>30</v>
      </c>
      <c r="H67" s="0" t="n">
        <v>25</v>
      </c>
      <c r="I67" s="0" t="n">
        <v>20</v>
      </c>
    </row>
    <row r="68" customFormat="false" ht="15" hidden="false" customHeight="false" outlineLevel="0" collapsed="false">
      <c r="B68" s="0" t="s">
        <v>91</v>
      </c>
      <c r="C68" s="0" t="n">
        <v>15</v>
      </c>
      <c r="D68" s="0" t="n">
        <v>15</v>
      </c>
      <c r="E68" s="0" t="n">
        <v>15</v>
      </c>
      <c r="F68" s="0" t="n">
        <v>15</v>
      </c>
      <c r="G68" s="0" t="n">
        <v>15</v>
      </c>
      <c r="H68" s="0" t="n">
        <v>15</v>
      </c>
      <c r="I68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F21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10" activeCellId="0" sqref="D10"/>
    </sheetView>
  </sheetViews>
  <sheetFormatPr defaultColWidth="8.79296875" defaultRowHeight="15" customHeight="false" zeroHeight="false" outlineLevelRow="0" outlineLevelCol="0"/>
  <cols>
    <col collapsed="false" customWidth="true" hidden="false" outlineLevel="0" max="4" min="4" style="0" width="17.86"/>
  </cols>
  <sheetData>
    <row r="3" customFormat="false" ht="15" hidden="false" customHeight="false" outlineLevel="0" collapsed="false">
      <c r="E3" s="0" t="s">
        <v>92</v>
      </c>
      <c r="F3" s="0" t="s">
        <v>93</v>
      </c>
    </row>
    <row r="4" customFormat="false" ht="15" hidden="false" customHeight="false" outlineLevel="0" collapsed="false">
      <c r="D4" s="0" t="s">
        <v>94</v>
      </c>
      <c r="E4" s="1" t="n">
        <v>0.35</v>
      </c>
      <c r="F4" s="1" t="n">
        <v>0.36</v>
      </c>
    </row>
    <row r="5" customFormat="false" ht="15" hidden="false" customHeight="false" outlineLevel="0" collapsed="false">
      <c r="D5" s="0" t="s">
        <v>95</v>
      </c>
      <c r="E5" s="1" t="n">
        <v>0.4</v>
      </c>
      <c r="F5" s="1" t="n">
        <v>0.36</v>
      </c>
    </row>
    <row r="6" customFormat="false" ht="15" hidden="false" customHeight="false" outlineLevel="0" collapsed="false">
      <c r="D6" s="0" t="s">
        <v>96</v>
      </c>
      <c r="E6" s="1" t="n">
        <v>0.25</v>
      </c>
      <c r="F6" s="1" t="n">
        <v>0.28</v>
      </c>
    </row>
    <row r="9" customFormat="false" ht="15" hidden="false" customHeight="false" outlineLevel="0" collapsed="false">
      <c r="D9" s="0" t="s">
        <v>97</v>
      </c>
    </row>
    <row r="10" customFormat="false" ht="15" hidden="false" customHeight="false" outlineLevel="0" collapsed="false">
      <c r="D10" s="0" t="s">
        <v>98</v>
      </c>
      <c r="E10" s="0" t="n">
        <v>61</v>
      </c>
    </row>
    <row r="11" customFormat="false" ht="15" hidden="false" customHeight="false" outlineLevel="0" collapsed="false">
      <c r="D11" s="0" t="s">
        <v>99</v>
      </c>
      <c r="E11" s="0" t="n">
        <v>53</v>
      </c>
    </row>
    <row r="12" customFormat="false" ht="15" hidden="false" customHeight="false" outlineLevel="0" collapsed="false">
      <c r="D12" s="0" t="s">
        <v>100</v>
      </c>
      <c r="E12" s="0" t="n">
        <v>3</v>
      </c>
    </row>
    <row r="16" customFormat="false" ht="15" hidden="false" customHeight="false" outlineLevel="0" collapsed="false">
      <c r="E16" s="0" t="s">
        <v>92</v>
      </c>
      <c r="F16" s="0" t="s">
        <v>93</v>
      </c>
    </row>
    <row r="17" customFormat="false" ht="15" hidden="false" customHeight="false" outlineLevel="0" collapsed="false">
      <c r="D17" s="0" t="s">
        <v>101</v>
      </c>
      <c r="E17" s="1" t="n">
        <v>0.1</v>
      </c>
      <c r="F17" s="1" t="n">
        <v>0.1</v>
      </c>
    </row>
    <row r="18" customFormat="false" ht="15" hidden="false" customHeight="false" outlineLevel="0" collapsed="false">
      <c r="D18" s="0" t="s">
        <v>102</v>
      </c>
      <c r="E18" s="1" t="n">
        <v>0.3</v>
      </c>
      <c r="F18" s="1" t="n">
        <v>0.2</v>
      </c>
    </row>
    <row r="19" customFormat="false" ht="15" hidden="false" customHeight="false" outlineLevel="0" collapsed="false">
      <c r="D19" s="0" t="s">
        <v>103</v>
      </c>
      <c r="E19" s="1" t="n">
        <v>0.25</v>
      </c>
      <c r="F19" s="1" t="n">
        <v>0.25</v>
      </c>
    </row>
    <row r="20" customFormat="false" ht="15" hidden="false" customHeight="false" outlineLevel="0" collapsed="false">
      <c r="D20" s="0" t="s">
        <v>104</v>
      </c>
      <c r="E20" s="1" t="n">
        <v>0.2</v>
      </c>
      <c r="F20" s="1" t="n">
        <v>0.25</v>
      </c>
    </row>
    <row r="21" customFormat="false" ht="15" hidden="false" customHeight="false" outlineLevel="0" collapsed="false">
      <c r="D21" s="0" t="s">
        <v>105</v>
      </c>
      <c r="E21" s="1" t="n">
        <v>0.15</v>
      </c>
      <c r="F21" s="1" t="n">
        <v>0.2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2026-01-15T16:19:42Z</dcterms:created>
  <dc:creator>Varga,Anna A.</dc:creator>
  <dc:description/>
  <dc:language>de-DE</dc:language>
  <cp:lastModifiedBy/>
  <dcterms:modified xsi:type="dcterms:W3CDTF">2026-01-16T14:44:08Z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